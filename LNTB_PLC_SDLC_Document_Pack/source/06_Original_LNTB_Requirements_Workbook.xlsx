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quirements Matrix" sheetId="2" state="visible" r:id="rId4"/>
    <sheet name="Hardware BOM" sheetId="3" state="visible" r:id="rId5"/>
    <sheet name="Software Stack" sheetId="4" state="visible" r:id="rId6"/>
    <sheet name="Database Schema" sheetId="5" state="visible" r:id="rId7"/>
    <sheet name="Project Timelin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<sst xmlns="http://schemas.openxmlformats.org/spreadsheetml/2006/main" count="534" uniqueCount="288">
  <si>
    <t xml:space="preserve">LNTB — Smart Tomato Farming System</t>
  </si>
  <si>
    <t xml:space="preserve">Requirements &amp; Planning Workbook</t>
  </si>
  <si>
    <t xml:space="preserve">Team</t>
  </si>
  <si>
    <t xml:space="preserve">LNTB (Leading Next-Gen Tomato Business)</t>
  </si>
  <si>
    <t xml:space="preserve">System</t>
  </si>
  <si>
    <t xml:space="preserve">IoT + AI-enabled smart irrigation, ripeness detection, and cost tracking</t>
  </si>
  <si>
    <t xml:space="preserve">Stack</t>
  </si>
  <si>
    <t xml:space="preserve">Laravel (Backend) · Flutter (Mobile App) · Arduino / C++ on ESP32 (Firmware)</t>
  </si>
  <si>
    <t xml:space="preserve">Primary UI language</t>
  </si>
  <si>
    <t xml:space="preserve">Khmer (100%)</t>
  </si>
  <si>
    <t xml:space="preserve">Total hardware budget</t>
  </si>
  <si>
    <t xml:space="preserve">$103.50 per net house</t>
  </si>
  <si>
    <t xml:space="preserve">Sheet Guide</t>
  </si>
  <si>
    <t xml:space="preserve">• Requirements Matrix</t>
  </si>
  <si>
    <t xml:space="preserve">All functional &amp; non-functional requirements with ID, module, priority, and status.</t>
  </si>
  <si>
    <t xml:space="preserve">• Hardware BOM</t>
  </si>
  <si>
    <t xml:space="preserve">Bill of materials with quantities and cost, auto-summed budget.</t>
  </si>
  <si>
    <t xml:space="preserve">• Software Stack</t>
  </si>
  <si>
    <t xml:space="preserve">Technology choices by layer (Firmware / Backend / Mobile App).</t>
  </si>
  <si>
    <t xml:space="preserve">• Database Schema</t>
  </si>
  <si>
    <t xml:space="preserve">Tables and key fields for the Laravel/MySQL database.</t>
  </si>
  <si>
    <t xml:space="preserve">• Project Timeline</t>
  </si>
  <si>
    <t xml:space="preserve">Phase-by-phase schedule, May–August.</t>
  </si>
  <si>
    <t xml:space="preserve">ID</t>
  </si>
  <si>
    <t xml:space="preserve">Module</t>
  </si>
  <si>
    <t xml:space="preserve">Category</t>
  </si>
  <si>
    <t xml:space="preserve">Requirement</t>
  </si>
  <si>
    <t xml:space="preserve">Priority</t>
  </si>
  <si>
    <t xml:space="preserve">Status</t>
  </si>
  <si>
    <t xml:space="preserve">FR-HW-01</t>
  </si>
  <si>
    <t xml:space="preserve">Firmware</t>
  </si>
  <si>
    <t xml:space="preserve">Functional</t>
  </si>
  <si>
    <t xml:space="preserve">Read soil moisture at configurable interval (default 60s).</t>
  </si>
  <si>
    <t xml:space="preserve">Must</t>
  </si>
  <si>
    <t xml:space="preserve">Not Started</t>
  </si>
  <si>
    <t xml:space="preserve">FR-HW-02</t>
  </si>
  <si>
    <t xml:space="preserve">Read temperature and humidity via DHT22.</t>
  </si>
  <si>
    <t xml:space="preserve">FR-HW-03</t>
  </si>
  <si>
    <t xml:space="preserve">Read ambient light level via LDR.</t>
  </si>
  <si>
    <t xml:space="preserve">FR-HW-04</t>
  </si>
  <si>
    <t xml:space="preserve">Send readings to Laravel API as JSON over HTTPS.</t>
  </si>
  <si>
    <t xml:space="preserve">FR-HW-05</t>
  </si>
  <si>
    <t xml:space="preserve">Poll Laravel command endpoint (default 10s) for pending commands.</t>
  </si>
  <si>
    <t xml:space="preserve">FR-HW-06</t>
  </si>
  <si>
    <t xml:space="preserve">Trigger relay (water pump) on pump_on / pump_off commands.</t>
  </si>
  <si>
    <t xml:space="preserve">FR-HW-07</t>
  </si>
  <si>
    <t xml:space="preserve">Trigger servo (net roof) on servo_open / servo_close commands.</t>
  </si>
  <si>
    <t xml:space="preserve">Should</t>
  </si>
  <si>
    <t xml:space="preserve">FR-HW-08</t>
  </si>
  <si>
    <t xml:space="preserve">Acknowledge executed commands back to backend.</t>
  </si>
  <si>
    <t xml:space="preserve">FR-HW-09</t>
  </si>
  <si>
    <t xml:space="preserve">Fall back to local safe moisture threshold if backend unreachable.</t>
  </si>
  <si>
    <t xml:space="preserve">FR-HW-10</t>
  </si>
  <si>
    <t xml:space="preserve">Capture tomato fruit image at configurable interval or on trigger.</t>
  </si>
  <si>
    <t xml:space="preserve">FR-HW-11</t>
  </si>
  <si>
    <t xml:space="preserve">Send captured image / inferred ripeness result to Laravel API.</t>
  </si>
  <si>
    <t xml:space="preserve">FR-HW-12</t>
  </si>
  <si>
    <t xml:space="preserve">Store WiFi credentials and API endpoint in separate config file.</t>
  </si>
  <si>
    <t xml:space="preserve">Could</t>
  </si>
  <si>
    <t xml:space="preserve">FR-HW-13</t>
  </si>
  <si>
    <t xml:space="preserve">Reconnect automatically after WiFi drop without manual reset.</t>
  </si>
  <si>
    <t xml:space="preserve">FR-BE-01</t>
  </si>
  <si>
    <t xml:space="preserve">Backend</t>
  </si>
  <si>
    <t xml:space="preserve">Expose authenticated endpoint for ESP32 to submit sensor readings.</t>
  </si>
  <si>
    <t xml:space="preserve">FR-BE-02</t>
  </si>
  <si>
    <t xml:space="preserve">Expose endpoint for ESP32 to poll pending commands.</t>
  </si>
  <si>
    <t xml:space="preserve">FR-BE-03</t>
  </si>
  <si>
    <t xml:space="preserve">Expose endpoint for ESP32 to acknowledge command execution.</t>
  </si>
  <si>
    <t xml:space="preserve">FR-BE-04</t>
  </si>
  <si>
    <t xml:space="preserve">Expose endpoint to receive ripeness detection results/images.</t>
  </si>
  <si>
    <t xml:space="preserve">FR-BE-05</t>
  </si>
  <si>
    <t xml:space="preserve">Calculate real-time water (m3) and electricity (kWh) usage per irrigation event.</t>
  </si>
  <si>
    <t xml:space="preserve">FR-BE-06</t>
  </si>
  <si>
    <t xml:space="preserve">Scheduled job rolls up daily usage into usage_records with USD cost.</t>
  </si>
  <si>
    <t xml:space="preserve">FR-BE-07</t>
  </si>
  <si>
    <t xml:space="preserve">Broadcast live sensor updates via WebSocket (Reverb) per farm channel.</t>
  </si>
  <si>
    <t xml:space="preserve">FR-BE-08</t>
  </si>
  <si>
    <t xml:space="preserve">Send push notification (FCM) when fruit is ready-to-harvest.</t>
  </si>
  <si>
    <t xml:space="preserve">FR-BE-09</t>
  </si>
  <si>
    <t xml:space="preserve">Send push notification when soil moisture crosses critical threshold.</t>
  </si>
  <si>
    <t xml:space="preserve">FR-BE-10</t>
  </si>
  <si>
    <t xml:space="preserve">Provide Sanctum token-based authentication for Flutter app.</t>
  </si>
  <si>
    <t xml:space="preserve">FR-BE-11</t>
  </si>
  <si>
    <t xml:space="preserve">Provide paginated, filterable logbook query endpoints.</t>
  </si>
  <si>
    <t xml:space="preserve">FR-BE-12</t>
  </si>
  <si>
    <t xml:space="preserve">Allow farmer to manually trigger/stop irrigation via authenticated API.</t>
  </si>
  <si>
    <t xml:space="preserve">FR-BE-13</t>
  </si>
  <si>
    <t xml:space="preserve">Record trigger source (auto vs manual) per irrigation event.</t>
  </si>
  <si>
    <t xml:space="preserve">FR-BE-14</t>
  </si>
  <si>
    <t xml:space="preserve">Support configurable per-farm cost rates ($/m3, $/kWh).</t>
  </si>
  <si>
    <t xml:space="preserve">FR-APP-01</t>
  </si>
  <si>
    <t xml:space="preserve">Mobile App</t>
  </si>
  <si>
    <t xml:space="preserve">Display login screen; authenticate against Laravel Sanctum.</t>
  </si>
  <si>
    <t xml:space="preserve">FR-APP-02</t>
  </si>
  <si>
    <t xml:space="preserve">Display real-time dashboard: moisture, temperature, humidity, light.</t>
  </si>
  <si>
    <t xml:space="preserve">FR-APP-03</t>
  </si>
  <si>
    <t xml:space="preserve">Visually indicate status with color coding (green/red).</t>
  </si>
  <si>
    <t xml:space="preserve">FR-APP-04</t>
  </si>
  <si>
    <t xml:space="preserve">Allow farmer to manually trigger or stop irrigation.</t>
  </si>
  <si>
    <t xml:space="preserve">FR-APP-05</t>
  </si>
  <si>
    <t xml:space="preserve">Display current auto-irrigation status (on/off, last triggered).</t>
  </si>
  <si>
    <t xml:space="preserve">FR-APP-06</t>
  </si>
  <si>
    <t xml:space="preserve">Display latest ripeness detection results with images and confidence.</t>
  </si>
  <si>
    <t xml:space="preserve">FR-APP-07</t>
  </si>
  <si>
    <t xml:space="preserve">Display real-time and historical water/electricity cost.</t>
  </si>
  <si>
    <t xml:space="preserve">FR-APP-08</t>
  </si>
  <si>
    <t xml:space="preserve">Provide digital logbook, filterable by month and year.</t>
  </si>
  <si>
    <t xml:space="preserve">FR-APP-09</t>
  </si>
  <si>
    <t xml:space="preserve">Receive and display push notifications for alerts.</t>
  </si>
  <si>
    <t xml:space="preserve">FR-APP-10</t>
  </si>
  <si>
    <t xml:space="preserve">Render UI 100% in Khmer language.</t>
  </si>
  <si>
    <t xml:space="preserve">FR-APP-11</t>
  </si>
  <si>
    <t xml:space="preserve">Function acceptably on low-end/budget Android devices.</t>
  </si>
  <si>
    <t xml:space="preserve">FR-APP-12</t>
  </si>
  <si>
    <t xml:space="preserve">Handle intermittent connectivity gracefully (cache + retry).</t>
  </si>
  <si>
    <t xml:space="preserve">NFR-01</t>
  </si>
  <si>
    <t xml:space="preserve">Cross-cutting</t>
  </si>
  <si>
    <t xml:space="preserve">Usability</t>
  </si>
  <si>
    <t xml:space="preserve">Farmer can read dashboard status within 5 seconds via color/icon cues.</t>
  </si>
  <si>
    <t xml:space="preserve">NFR-02</t>
  </si>
  <si>
    <t xml:space="preserve">Performance</t>
  </si>
  <si>
    <t xml:space="preserve">Sensor readings appear on dashboard within 5 seconds (via WebSocket).</t>
  </si>
  <si>
    <t xml:space="preserve">NFR-03</t>
  </si>
  <si>
    <t xml:space="preserve">Reliability</t>
  </si>
  <si>
    <t xml:space="preserve">Basic auto-irrigation continues if backend is temporarily unreachable.</t>
  </si>
  <si>
    <t xml:space="preserve">NFR-04</t>
  </si>
  <si>
    <t xml:space="preserve">Availability</t>
  </si>
  <si>
    <t xml:space="preserve">Backend uptime suitable for single-farm pilot (no formal SLA at MVP).</t>
  </si>
  <si>
    <t xml:space="preserve">NFR-05</t>
  </si>
  <si>
    <t xml:space="preserve">Security</t>
  </si>
  <si>
    <t xml:space="preserve">All API traffic uses HTTPS; device endpoints use API keys, users use Sanctum.</t>
  </si>
  <si>
    <t xml:space="preserve">NFR-06</t>
  </si>
  <si>
    <t xml:space="preserve">Scalability</t>
  </si>
  <si>
    <t xml:space="preserve">Schema supports multiple farms/devices per user without redesign.</t>
  </si>
  <si>
    <t xml:space="preserve">NFR-07</t>
  </si>
  <si>
    <t xml:space="preserve">Localization</t>
  </si>
  <si>
    <t xml:space="preserve">All user-facing text sourced from Khmer .arb files, never hardcoded.</t>
  </si>
  <si>
    <t xml:space="preserve">NFR-08</t>
  </si>
  <si>
    <t xml:space="preserve">Cost</t>
  </si>
  <si>
    <t xml:space="preserve">Total hardware BOM per net house does not exceed ~$105 USD.</t>
  </si>
  <si>
    <t xml:space="preserve">NFR-09</t>
  </si>
  <si>
    <t xml:space="preserve">Maintainability</t>
  </si>
  <si>
    <t xml:space="preserve">Firmware, backend, and app structured into clearly separated modules.</t>
  </si>
  <si>
    <t xml:space="preserve">NFR-10</t>
  </si>
  <si>
    <t xml:space="preserve">Data retention</t>
  </si>
  <si>
    <t xml:space="preserve">Sensor readings/logs retrievable for at least one full growing season.</t>
  </si>
  <si>
    <t xml:space="preserve">#</t>
  </si>
  <si>
    <t xml:space="preserve">Component</t>
  </si>
  <si>
    <t xml:space="preserve">Purpose</t>
  </si>
  <si>
    <t xml:space="preserve">Qty</t>
  </si>
  <si>
    <t xml:space="preserve">Unit Cost (USD)</t>
  </si>
  <si>
    <t xml:space="preserve">Line Total (USD)</t>
  </si>
  <si>
    <t xml:space="preserve">ESP32 Microcontroller Board</t>
  </si>
  <si>
    <t xml:space="preserve">Main sensor node controller (hardware brain)</t>
  </si>
  <si>
    <t xml:space="preserve">ESP32-CAM</t>
  </si>
  <si>
    <t xml:space="preserve">AI camera module for ripeness evaluation</t>
  </si>
  <si>
    <t xml:space="preserve">Soil Moisture Sensor</t>
  </si>
  <si>
    <t xml:space="preserve">Soil moisture reading</t>
  </si>
  <si>
    <t xml:space="preserve">DHT22 Temperature &amp; Humidity Sensor</t>
  </si>
  <si>
    <t xml:space="preserve">Temperature and air humidity reading</t>
  </si>
  <si>
    <t xml:space="preserve">LDR Sensor &amp; Servo Motor</t>
  </si>
  <si>
    <t xml:space="preserve">Light reading + auto net-roof control</t>
  </si>
  <si>
    <t xml:space="preserve">2-Channel Relay + Water Pump + Fan</t>
  </si>
  <si>
    <t xml:space="preserve">Irrigation / ventilation on-off control</t>
  </si>
  <si>
    <t xml:space="preserve">Assembly Accessories (wiring, waterproof box, PCB)</t>
  </si>
  <si>
    <t xml:space="preserve">Assembly &amp; protection</t>
  </si>
  <si>
    <t xml:space="preserve">Mobile App + Cloud Server Budget</t>
  </si>
  <si>
    <t xml:space="preserve">Development &amp; test server allowance</t>
  </si>
  <si>
    <t xml:space="preserve">Total Estimated Budget</t>
  </si>
  <si>
    <t xml:space="preserve">Layer</t>
  </si>
  <si>
    <t xml:space="preserve">Item</t>
  </si>
  <si>
    <t xml:space="preserve">Choice</t>
  </si>
  <si>
    <t xml:space="preserve">Language</t>
  </si>
  <si>
    <t xml:space="preserve">C++ (Arduino Framework)</t>
  </si>
  <si>
    <t xml:space="preserve">Toolchain</t>
  </si>
  <si>
    <t xml:space="preserve">PlatformIO (recommended) or Arduino IDE</t>
  </si>
  <si>
    <t xml:space="preserve">Key Libraries</t>
  </si>
  <si>
    <t xml:space="preserve">DHT sensor library, ESP32Servo, HTTPClient, ArduinoJson, esp32-camera</t>
  </si>
  <si>
    <t xml:space="preserve">Framework</t>
  </si>
  <si>
    <t xml:space="preserve">Laravel (latest LTS-compatible version)</t>
  </si>
  <si>
    <t xml:space="preserve">Auth</t>
  </si>
  <si>
    <t xml:space="preserve">Laravel Sanctum</t>
  </si>
  <si>
    <t xml:space="preserve">Realtime</t>
  </si>
  <si>
    <t xml:space="preserve">Laravel Reverb</t>
  </si>
  <si>
    <t xml:space="preserve">Database</t>
  </si>
  <si>
    <t xml:space="preserve">MySQL</t>
  </si>
  <si>
    <t xml:space="preserve">Notifications</t>
  </si>
  <si>
    <t xml:space="preserve">Firebase Cloud Messaging</t>
  </si>
  <si>
    <t xml:space="preserve">Scheduling</t>
  </si>
  <si>
    <t xml:space="preserve">Laravel Scheduler (daily usage rollup)</t>
  </si>
  <si>
    <t xml:space="preserve">Flutter</t>
  </si>
  <si>
    <t xml:space="preserve">State Management</t>
  </si>
  <si>
    <t xml:space="preserve">Riverpod</t>
  </si>
  <si>
    <t xml:space="preserve">Routing</t>
  </si>
  <si>
    <t xml:space="preserve">GoRouter</t>
  </si>
  <si>
    <t xml:space="preserve">Realtime Client</t>
  </si>
  <si>
    <t xml:space="preserve">laravel_echo + pusher_client</t>
  </si>
  <si>
    <t xml:space="preserve">HTTP Client</t>
  </si>
  <si>
    <t xml:space="preserve">Dio</t>
  </si>
  <si>
    <t xml:space="preserve">Push Notifications</t>
  </si>
  <si>
    <t xml:space="preserve">firebase_messaging</t>
  </si>
  <si>
    <t xml:space="preserve">Flutter intl / .arb files (Khmer)</t>
  </si>
  <si>
    <t xml:space="preserve">Table</t>
  </si>
  <si>
    <t xml:space="preserve">Column</t>
  </si>
  <si>
    <t xml:space="preserve">Type</t>
  </si>
  <si>
    <t xml:space="preserve">Notes</t>
  </si>
  <si>
    <t xml:space="preserve">farms</t>
  </si>
  <si>
    <t xml:space="preserve">id</t>
  </si>
  <si>
    <t xml:space="preserve">bigint PK</t>
  </si>
  <si>
    <t xml:space="preserve">user_id</t>
  </si>
  <si>
    <t xml:space="preserve">FK -&gt; users</t>
  </si>
  <si>
    <t xml:space="preserve">owner</t>
  </si>
  <si>
    <t xml:space="preserve">name</t>
  </si>
  <si>
    <t xml:space="preserve">string</t>
  </si>
  <si>
    <t xml:space="preserve">location</t>
  </si>
  <si>
    <t xml:space="preserve">nullable</t>
  </si>
  <si>
    <t xml:space="preserve">devices</t>
  </si>
  <si>
    <t xml:space="preserve">farm_id</t>
  </si>
  <si>
    <t xml:space="preserve">FK -&gt; farms</t>
  </si>
  <si>
    <t xml:space="preserve">esp32_id</t>
  </si>
  <si>
    <t xml:space="preserve">string, unique</t>
  </si>
  <si>
    <t xml:space="preserve">hardware identifier</t>
  </si>
  <si>
    <t xml:space="preserve">type</t>
  </si>
  <si>
    <t xml:space="preserve">enum</t>
  </si>
  <si>
    <t xml:space="preserve">sensor_node, camera_node</t>
  </si>
  <si>
    <t xml:space="preserve">last_seen_at</t>
  </si>
  <si>
    <t xml:space="preserve">timestamp</t>
  </si>
  <si>
    <t xml:space="preserve">sensor_readings</t>
  </si>
  <si>
    <t xml:space="preserve">device_id</t>
  </si>
  <si>
    <t xml:space="preserve">FK -&gt; devices</t>
  </si>
  <si>
    <t xml:space="preserve">soil_moisture</t>
  </si>
  <si>
    <t xml:space="preserve">decimal</t>
  </si>
  <si>
    <t xml:space="preserve">%</t>
  </si>
  <si>
    <t xml:space="preserve">temperature</t>
  </si>
  <si>
    <t xml:space="preserve">°C</t>
  </si>
  <si>
    <t xml:space="preserve">humidity</t>
  </si>
  <si>
    <t xml:space="preserve">light_level</t>
  </si>
  <si>
    <t xml:space="preserve">lux / raw LDR</t>
  </si>
  <si>
    <t xml:space="preserve">recorded_at</t>
  </si>
  <si>
    <t xml:space="preserve">indexed with device_id</t>
  </si>
  <si>
    <t xml:space="preserve">irrigation_events</t>
  </si>
  <si>
    <t xml:space="preserve">triggered_by</t>
  </si>
  <si>
    <t xml:space="preserve">auto, manual</t>
  </si>
  <si>
    <t xml:space="preserve">triggered_by_user_id</t>
  </si>
  <si>
    <t xml:space="preserve">nullable, manual only</t>
  </si>
  <si>
    <t xml:space="preserve">duration_seconds</t>
  </si>
  <si>
    <t xml:space="preserve">integer</t>
  </si>
  <si>
    <t xml:space="preserve">water_m3</t>
  </si>
  <si>
    <t xml:space="preserve">power_kwh</t>
  </si>
  <si>
    <t xml:space="preserve">started_at / ended_at</t>
  </si>
  <si>
    <t xml:space="preserve">ended_at nullable</t>
  </si>
  <si>
    <t xml:space="preserve">ripeness_results</t>
  </si>
  <si>
    <t xml:space="preserve">camera node</t>
  </si>
  <si>
    <t xml:space="preserve">image_url</t>
  </si>
  <si>
    <t xml:space="preserve">confidence</t>
  </si>
  <si>
    <t xml:space="preserve">AI confidence %</t>
  </si>
  <si>
    <t xml:space="preserve">status</t>
  </si>
  <si>
    <t xml:space="preserve">unripe, semi_ripe, ready_to_harvest</t>
  </si>
  <si>
    <t xml:space="preserve">detected_at</t>
  </si>
  <si>
    <t xml:space="preserve">usage_records</t>
  </si>
  <si>
    <t xml:space="preserve">date</t>
  </si>
  <si>
    <t xml:space="preserve">sum for the day</t>
  </si>
  <si>
    <t xml:space="preserve">cost_usd</t>
  </si>
  <si>
    <t xml:space="preserve">calculated</t>
  </si>
  <si>
    <t xml:space="preserve">pending_commands</t>
  </si>
  <si>
    <t xml:space="preserve">command</t>
  </si>
  <si>
    <t xml:space="preserve">pump_on, pump_off, servo_open, servo_close</t>
  </si>
  <si>
    <t xml:space="preserve">pending, acknowledged, executed</t>
  </si>
  <si>
    <t xml:space="preserve">users</t>
  </si>
  <si>
    <t xml:space="preserve">phone_or_email</t>
  </si>
  <si>
    <t xml:space="preserve">phone login may suit farmers better</t>
  </si>
  <si>
    <t xml:space="preserve">password</t>
  </si>
  <si>
    <t xml:space="preserve">hashed</t>
  </si>
  <si>
    <t xml:space="preserve">Month</t>
  </si>
  <si>
    <t xml:space="preserve">Phase</t>
  </si>
  <si>
    <t xml:space="preserve">Key Activities</t>
  </si>
  <si>
    <t xml:space="preserve">May</t>
  </si>
  <si>
    <t xml:space="preserve">Ideation</t>
  </si>
  <si>
    <t xml:space="preserve">Team discussion, identify farmer problems, write initial project proposal, assign member tasks.</t>
  </si>
  <si>
    <t xml:space="preserve">June</t>
  </si>
  <si>
    <t xml:space="preserve">Design</t>
  </si>
  <si>
    <t xml:space="preserve">Schematic circuit design, net-house prototype layout, app UI/UX design (Khmer), purchase hardware.</t>
  </si>
  <si>
    <t xml:space="preserve">July</t>
  </si>
  <si>
    <t xml:space="preserve">Build &amp; Test</t>
  </si>
  <si>
    <t xml:space="preserve">Assemble hardware, write firmware, train AI on ripeness images, build app, field-test in real net house.</t>
  </si>
  <si>
    <t xml:space="preserve">August</t>
  </si>
  <si>
    <t xml:space="preserve">Finalize</t>
  </si>
  <si>
    <t xml:space="preserve">Refine system based on test results, calculate savings, prepare and deliver final presentation.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</si>
</sst>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57"/>
      <name val="Calibri"/>
      <family val="0"/>
      <charset val="1"/>
    </font>
    <font>
      <i val="true"/>
      <sz val="10"/>
      <color rgb="FF6B7770"/>
      <name val="Calibri"/>
      <family val="0"/>
      <charset val="1"/>
    </font>
    <font>
      <b val="true"/>
      <sz val="10.5"/>
      <color rgb="FF000000"/>
      <name val="Calibri"/>
      <family val="0"/>
      <charset val="1"/>
    </font>
    <font>
      <sz val="10.5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2"/>
      <color rgb="FFC0392B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EAF1E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5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70"/>
      <rgbColor rgb="FF9999FF"/>
      <rgbColor rgb="FF993366"/>
      <rgbColor rgb="FFEAF1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3B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qMatrix" displayName="ReqMatrix" ref="A1:F50" headerRowCount="1" totalsRowCount="0" totalsRowShown="0">
  <autoFilter ref="A1:F50"/>
  <tableColumns count="6">
    <tableColumn id="1" name="ID"/>
    <tableColumn id="2" name="Module"/>
    <tableColumn id="3" name="Category"/>
    <tableColumn id="4" name="Requirement"/>
    <tableColumn id="5" name="Priority"/>
    <tableColumn id="6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5" min="3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</row>
    <row r="5" customFormat="false" ht="15" hidden="false" customHeight="false" outlineLevel="0" collapsed="false">
      <c r="A5" s="3" t="s">
        <v>4</v>
      </c>
      <c r="B5" s="4" t="s">
        <v>5</v>
      </c>
      <c r="C5" s="4"/>
      <c r="D5" s="4"/>
      <c r="E5" s="4"/>
    </row>
    <row r="6" customFormat="false" ht="15" hidden="false" customHeight="false" outlineLevel="0" collapsed="false">
      <c r="A6" s="3" t="s">
        <v>6</v>
      </c>
      <c r="B6" s="4" t="s">
        <v>7</v>
      </c>
      <c r="C6" s="4"/>
      <c r="D6" s="4"/>
      <c r="E6" s="4"/>
    </row>
    <row r="7" customFormat="false" ht="15" hidden="false" customHeight="false" outlineLevel="0" collapsed="false">
      <c r="A7" s="3" t="s">
        <v>8</v>
      </c>
      <c r="B7" s="4" t="s">
        <v>9</v>
      </c>
      <c r="C7" s="4"/>
      <c r="D7" s="4"/>
      <c r="E7" s="4"/>
    </row>
    <row r="8" customFormat="false" ht="15" hidden="false" customHeight="false" outlineLevel="0" collapsed="false">
      <c r="A8" s="3" t="s">
        <v>10</v>
      </c>
      <c r="B8" s="4" t="s">
        <v>11</v>
      </c>
      <c r="C8" s="4"/>
      <c r="D8" s="4"/>
      <c r="E8" s="4"/>
    </row>
    <row r="10" customFormat="false" ht="15" hidden="false" customHeight="false" outlineLevel="0" collapsed="false">
      <c r="A10" s="3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  <c r="C11" s="4"/>
      <c r="D11" s="4"/>
      <c r="E11" s="4"/>
    </row>
    <row r="12" customFormat="false" ht="15" hidden="false" customHeight="false" outlineLevel="0" collapsed="false">
      <c r="A12" s="3" t="s">
        <v>15</v>
      </c>
      <c r="B12" s="4" t="s">
        <v>16</v>
      </c>
      <c r="C12" s="4"/>
      <c r="D12" s="4"/>
      <c r="E12" s="4"/>
    </row>
    <row r="13" customFormat="false" ht="15" hidden="false" customHeight="false" outlineLevel="0" collapsed="false">
      <c r="A13" s="3" t="s">
        <v>17</v>
      </c>
      <c r="B13" s="4" t="s">
        <v>18</v>
      </c>
      <c r="C13" s="4"/>
      <c r="D13" s="4"/>
      <c r="E13" s="4"/>
    </row>
    <row r="14" customFormat="false" ht="15" hidden="false" customHeight="false" outlineLevel="0" collapsed="false">
      <c r="A14" s="3" t="s">
        <v>19</v>
      </c>
      <c r="B14" s="4" t="s">
        <v>20</v>
      </c>
      <c r="C14" s="4"/>
      <c r="D14" s="4"/>
      <c r="E14" s="4"/>
    </row>
    <row r="15" customFormat="false" ht="15" hidden="false" customHeight="false" outlineLevel="0" collapsed="false">
      <c r="A15" s="3" t="s">
        <v>21</v>
      </c>
      <c r="B15" s="4" t="s">
        <v>22</v>
      </c>
      <c r="C15" s="4"/>
      <c r="D15" s="4"/>
      <c r="E15" s="4"/>
    </row>
  </sheetData>
  <mergeCells count="12">
    <mergeCell ref="A1:E1"/>
    <mergeCell ref="A2:E2"/>
    <mergeCell ref="B4:E4"/>
    <mergeCell ref="B5:E5"/>
    <mergeCell ref="B6:E6"/>
    <mergeCell ref="B7:E7"/>
    <mergeCell ref="B8:E8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62"/>
    <col collapsed="false" customWidth="true" hidden="false" outlineLevel="0" max="5" min="5" style="0" width="10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7" t="s">
        <v>32</v>
      </c>
      <c r="E2" s="6" t="s">
        <v>33</v>
      </c>
      <c r="F2" s="6" t="s">
        <v>34</v>
      </c>
    </row>
    <row r="3" customFormat="false" ht="15" hidden="false" customHeight="false" outlineLevel="0" collapsed="false">
      <c r="A3" s="6" t="s">
        <v>35</v>
      </c>
      <c r="B3" s="6" t="s">
        <v>30</v>
      </c>
      <c r="C3" s="6" t="s">
        <v>31</v>
      </c>
      <c r="D3" s="7" t="s">
        <v>36</v>
      </c>
      <c r="E3" s="6" t="s">
        <v>33</v>
      </c>
      <c r="F3" s="6" t="s">
        <v>34</v>
      </c>
    </row>
    <row r="4" customFormat="false" ht="15" hidden="false" customHeight="false" outlineLevel="0" collapsed="false">
      <c r="A4" s="6" t="s">
        <v>37</v>
      </c>
      <c r="B4" s="6" t="s">
        <v>30</v>
      </c>
      <c r="C4" s="6" t="s">
        <v>31</v>
      </c>
      <c r="D4" s="7" t="s">
        <v>38</v>
      </c>
      <c r="E4" s="6" t="s">
        <v>33</v>
      </c>
      <c r="F4" s="6" t="s">
        <v>34</v>
      </c>
    </row>
    <row r="5" customFormat="false" ht="15" hidden="false" customHeight="false" outlineLevel="0" collapsed="false">
      <c r="A5" s="6" t="s">
        <v>39</v>
      </c>
      <c r="B5" s="6" t="s">
        <v>30</v>
      </c>
      <c r="C5" s="6" t="s">
        <v>31</v>
      </c>
      <c r="D5" s="7" t="s">
        <v>40</v>
      </c>
      <c r="E5" s="6" t="s">
        <v>33</v>
      </c>
      <c r="F5" s="6" t="s">
        <v>34</v>
      </c>
    </row>
    <row r="6" customFormat="false" ht="15" hidden="false" customHeight="false" outlineLevel="0" collapsed="false">
      <c r="A6" s="6" t="s">
        <v>41</v>
      </c>
      <c r="B6" s="6" t="s">
        <v>30</v>
      </c>
      <c r="C6" s="6" t="s">
        <v>31</v>
      </c>
      <c r="D6" s="7" t="s">
        <v>42</v>
      </c>
      <c r="E6" s="6" t="s">
        <v>33</v>
      </c>
      <c r="F6" s="6" t="s">
        <v>34</v>
      </c>
    </row>
    <row r="7" customFormat="false" ht="15" hidden="false" customHeight="false" outlineLevel="0" collapsed="false">
      <c r="A7" s="6" t="s">
        <v>43</v>
      </c>
      <c r="B7" s="6" t="s">
        <v>30</v>
      </c>
      <c r="C7" s="6" t="s">
        <v>31</v>
      </c>
      <c r="D7" s="7" t="s">
        <v>44</v>
      </c>
      <c r="E7" s="6" t="s">
        <v>33</v>
      </c>
      <c r="F7" s="6" t="s">
        <v>34</v>
      </c>
    </row>
    <row r="8" customFormat="false" ht="15" hidden="false" customHeight="false" outlineLevel="0" collapsed="false">
      <c r="A8" s="6" t="s">
        <v>45</v>
      </c>
      <c r="B8" s="6" t="s">
        <v>30</v>
      </c>
      <c r="C8" s="6" t="s">
        <v>31</v>
      </c>
      <c r="D8" s="7" t="s">
        <v>46</v>
      </c>
      <c r="E8" s="6" t="s">
        <v>47</v>
      </c>
      <c r="F8" s="6" t="s">
        <v>34</v>
      </c>
    </row>
    <row r="9" customFormat="false" ht="15" hidden="false" customHeight="false" outlineLevel="0" collapsed="false">
      <c r="A9" s="6" t="s">
        <v>48</v>
      </c>
      <c r="B9" s="6" t="s">
        <v>30</v>
      </c>
      <c r="C9" s="6" t="s">
        <v>31</v>
      </c>
      <c r="D9" s="7" t="s">
        <v>49</v>
      </c>
      <c r="E9" s="6" t="s">
        <v>47</v>
      </c>
      <c r="F9" s="6" t="s">
        <v>34</v>
      </c>
    </row>
    <row r="10" customFormat="false" ht="15" hidden="false" customHeight="false" outlineLevel="0" collapsed="false">
      <c r="A10" s="6" t="s">
        <v>50</v>
      </c>
      <c r="B10" s="6" t="s">
        <v>30</v>
      </c>
      <c r="C10" s="6" t="s">
        <v>31</v>
      </c>
      <c r="D10" s="7" t="s">
        <v>51</v>
      </c>
      <c r="E10" s="6" t="s">
        <v>47</v>
      </c>
      <c r="F10" s="6" t="s">
        <v>34</v>
      </c>
    </row>
    <row r="11" customFormat="false" ht="15" hidden="false" customHeight="false" outlineLevel="0" collapsed="false">
      <c r="A11" s="6" t="s">
        <v>52</v>
      </c>
      <c r="B11" s="6" t="s">
        <v>30</v>
      </c>
      <c r="C11" s="6" t="s">
        <v>31</v>
      </c>
      <c r="D11" s="7" t="s">
        <v>53</v>
      </c>
      <c r="E11" s="6" t="s">
        <v>47</v>
      </c>
      <c r="F11" s="6" t="s">
        <v>34</v>
      </c>
    </row>
    <row r="12" customFormat="false" ht="15" hidden="false" customHeight="false" outlineLevel="0" collapsed="false">
      <c r="A12" s="6" t="s">
        <v>54</v>
      </c>
      <c r="B12" s="6" t="s">
        <v>30</v>
      </c>
      <c r="C12" s="6" t="s">
        <v>31</v>
      </c>
      <c r="D12" s="7" t="s">
        <v>55</v>
      </c>
      <c r="E12" s="6" t="s">
        <v>47</v>
      </c>
      <c r="F12" s="6" t="s">
        <v>34</v>
      </c>
    </row>
    <row r="13" customFormat="false" ht="15" hidden="false" customHeight="false" outlineLevel="0" collapsed="false">
      <c r="A13" s="6" t="s">
        <v>56</v>
      </c>
      <c r="B13" s="6" t="s">
        <v>30</v>
      </c>
      <c r="C13" s="6" t="s">
        <v>31</v>
      </c>
      <c r="D13" s="7" t="s">
        <v>57</v>
      </c>
      <c r="E13" s="6" t="s">
        <v>58</v>
      </c>
      <c r="F13" s="6" t="s">
        <v>34</v>
      </c>
    </row>
    <row r="14" customFormat="false" ht="15" hidden="false" customHeight="false" outlineLevel="0" collapsed="false">
      <c r="A14" s="6" t="s">
        <v>59</v>
      </c>
      <c r="B14" s="6" t="s">
        <v>30</v>
      </c>
      <c r="C14" s="6" t="s">
        <v>31</v>
      </c>
      <c r="D14" s="7" t="s">
        <v>60</v>
      </c>
      <c r="E14" s="6" t="s">
        <v>58</v>
      </c>
      <c r="F14" s="6" t="s">
        <v>34</v>
      </c>
    </row>
    <row r="15" customFormat="false" ht="15" hidden="false" customHeight="false" outlineLevel="0" collapsed="false">
      <c r="A15" s="6" t="s">
        <v>61</v>
      </c>
      <c r="B15" s="6" t="s">
        <v>62</v>
      </c>
      <c r="C15" s="6" t="s">
        <v>31</v>
      </c>
      <c r="D15" s="7" t="s">
        <v>63</v>
      </c>
      <c r="E15" s="6" t="s">
        <v>33</v>
      </c>
      <c r="F15" s="6" t="s">
        <v>34</v>
      </c>
    </row>
    <row r="16" customFormat="false" ht="15" hidden="false" customHeight="false" outlineLevel="0" collapsed="false">
      <c r="A16" s="6" t="s">
        <v>64</v>
      </c>
      <c r="B16" s="6" t="s">
        <v>62</v>
      </c>
      <c r="C16" s="6" t="s">
        <v>31</v>
      </c>
      <c r="D16" s="7" t="s">
        <v>65</v>
      </c>
      <c r="E16" s="6" t="s">
        <v>33</v>
      </c>
      <c r="F16" s="6" t="s">
        <v>34</v>
      </c>
    </row>
    <row r="17" customFormat="false" ht="15" hidden="false" customHeight="false" outlineLevel="0" collapsed="false">
      <c r="A17" s="6" t="s">
        <v>66</v>
      </c>
      <c r="B17" s="6" t="s">
        <v>62</v>
      </c>
      <c r="C17" s="6" t="s">
        <v>31</v>
      </c>
      <c r="D17" s="7" t="s">
        <v>67</v>
      </c>
      <c r="E17" s="6" t="s">
        <v>33</v>
      </c>
      <c r="F17" s="6" t="s">
        <v>34</v>
      </c>
    </row>
    <row r="18" customFormat="false" ht="15" hidden="false" customHeight="false" outlineLevel="0" collapsed="false">
      <c r="A18" s="6" t="s">
        <v>68</v>
      </c>
      <c r="B18" s="6" t="s">
        <v>62</v>
      </c>
      <c r="C18" s="6" t="s">
        <v>31</v>
      </c>
      <c r="D18" s="7" t="s">
        <v>69</v>
      </c>
      <c r="E18" s="6" t="s">
        <v>33</v>
      </c>
      <c r="F18" s="6" t="s">
        <v>34</v>
      </c>
    </row>
    <row r="19" customFormat="false" ht="26.85" hidden="false" customHeight="false" outlineLevel="0" collapsed="false">
      <c r="A19" s="6" t="s">
        <v>70</v>
      </c>
      <c r="B19" s="6" t="s">
        <v>62</v>
      </c>
      <c r="C19" s="6" t="s">
        <v>31</v>
      </c>
      <c r="D19" s="7" t="s">
        <v>71</v>
      </c>
      <c r="E19" s="6" t="s">
        <v>33</v>
      </c>
      <c r="F19" s="6" t="s">
        <v>34</v>
      </c>
    </row>
    <row r="20" customFormat="false" ht="15" hidden="false" customHeight="false" outlineLevel="0" collapsed="false">
      <c r="A20" s="6" t="s">
        <v>72</v>
      </c>
      <c r="B20" s="6" t="s">
        <v>62</v>
      </c>
      <c r="C20" s="6" t="s">
        <v>31</v>
      </c>
      <c r="D20" s="7" t="s">
        <v>73</v>
      </c>
      <c r="E20" s="6" t="s">
        <v>33</v>
      </c>
      <c r="F20" s="6" t="s">
        <v>34</v>
      </c>
    </row>
    <row r="21" customFormat="false" ht="15" hidden="false" customHeight="false" outlineLevel="0" collapsed="false">
      <c r="A21" s="6" t="s">
        <v>74</v>
      </c>
      <c r="B21" s="6" t="s">
        <v>62</v>
      </c>
      <c r="C21" s="6" t="s">
        <v>31</v>
      </c>
      <c r="D21" s="7" t="s">
        <v>75</v>
      </c>
      <c r="E21" s="6" t="s">
        <v>47</v>
      </c>
      <c r="F21" s="6" t="s">
        <v>34</v>
      </c>
    </row>
    <row r="22" customFormat="false" ht="15" hidden="false" customHeight="false" outlineLevel="0" collapsed="false">
      <c r="A22" s="6" t="s">
        <v>76</v>
      </c>
      <c r="B22" s="6" t="s">
        <v>62</v>
      </c>
      <c r="C22" s="6" t="s">
        <v>31</v>
      </c>
      <c r="D22" s="7" t="s">
        <v>77</v>
      </c>
      <c r="E22" s="6" t="s">
        <v>47</v>
      </c>
      <c r="F22" s="6" t="s">
        <v>34</v>
      </c>
    </row>
    <row r="23" customFormat="false" ht="15" hidden="false" customHeight="false" outlineLevel="0" collapsed="false">
      <c r="A23" s="6" t="s">
        <v>78</v>
      </c>
      <c r="B23" s="6" t="s">
        <v>62</v>
      </c>
      <c r="C23" s="6" t="s">
        <v>31</v>
      </c>
      <c r="D23" s="7" t="s">
        <v>79</v>
      </c>
      <c r="E23" s="6" t="s">
        <v>47</v>
      </c>
      <c r="F23" s="6" t="s">
        <v>34</v>
      </c>
    </row>
    <row r="24" customFormat="false" ht="15" hidden="false" customHeight="false" outlineLevel="0" collapsed="false">
      <c r="A24" s="6" t="s">
        <v>80</v>
      </c>
      <c r="B24" s="6" t="s">
        <v>62</v>
      </c>
      <c r="C24" s="6" t="s">
        <v>31</v>
      </c>
      <c r="D24" s="7" t="s">
        <v>81</v>
      </c>
      <c r="E24" s="6" t="s">
        <v>47</v>
      </c>
      <c r="F24" s="6" t="s">
        <v>34</v>
      </c>
    </row>
    <row r="25" customFormat="false" ht="15" hidden="false" customHeight="false" outlineLevel="0" collapsed="false">
      <c r="A25" s="6" t="s">
        <v>82</v>
      </c>
      <c r="B25" s="6" t="s">
        <v>62</v>
      </c>
      <c r="C25" s="6" t="s">
        <v>31</v>
      </c>
      <c r="D25" s="7" t="s">
        <v>83</v>
      </c>
      <c r="E25" s="6" t="s">
        <v>47</v>
      </c>
      <c r="F25" s="6" t="s">
        <v>34</v>
      </c>
    </row>
    <row r="26" customFormat="false" ht="15" hidden="false" customHeight="false" outlineLevel="0" collapsed="false">
      <c r="A26" s="6" t="s">
        <v>84</v>
      </c>
      <c r="B26" s="6" t="s">
        <v>62</v>
      </c>
      <c r="C26" s="6" t="s">
        <v>31</v>
      </c>
      <c r="D26" s="7" t="s">
        <v>85</v>
      </c>
      <c r="E26" s="6" t="s">
        <v>58</v>
      </c>
      <c r="F26" s="6" t="s">
        <v>34</v>
      </c>
    </row>
    <row r="27" customFormat="false" ht="15" hidden="false" customHeight="false" outlineLevel="0" collapsed="false">
      <c r="A27" s="6" t="s">
        <v>86</v>
      </c>
      <c r="B27" s="6" t="s">
        <v>62</v>
      </c>
      <c r="C27" s="6" t="s">
        <v>31</v>
      </c>
      <c r="D27" s="7" t="s">
        <v>87</v>
      </c>
      <c r="E27" s="6" t="s">
        <v>58</v>
      </c>
      <c r="F27" s="6" t="s">
        <v>34</v>
      </c>
    </row>
    <row r="28" customFormat="false" ht="15" hidden="false" customHeight="false" outlineLevel="0" collapsed="false">
      <c r="A28" s="6" t="s">
        <v>88</v>
      </c>
      <c r="B28" s="6" t="s">
        <v>62</v>
      </c>
      <c r="C28" s="6" t="s">
        <v>31</v>
      </c>
      <c r="D28" s="7" t="s">
        <v>89</v>
      </c>
      <c r="E28" s="6" t="s">
        <v>58</v>
      </c>
      <c r="F28" s="6" t="s">
        <v>34</v>
      </c>
    </row>
    <row r="29" customFormat="false" ht="15" hidden="false" customHeight="false" outlineLevel="0" collapsed="false">
      <c r="A29" s="6" t="s">
        <v>90</v>
      </c>
      <c r="B29" s="6" t="s">
        <v>91</v>
      </c>
      <c r="C29" s="6" t="s">
        <v>31</v>
      </c>
      <c r="D29" s="7" t="s">
        <v>92</v>
      </c>
      <c r="E29" s="6" t="s">
        <v>33</v>
      </c>
      <c r="F29" s="6" t="s">
        <v>34</v>
      </c>
    </row>
    <row r="30" customFormat="false" ht="15" hidden="false" customHeight="false" outlineLevel="0" collapsed="false">
      <c r="A30" s="6" t="s">
        <v>93</v>
      </c>
      <c r="B30" s="6" t="s">
        <v>91</v>
      </c>
      <c r="C30" s="6" t="s">
        <v>31</v>
      </c>
      <c r="D30" s="7" t="s">
        <v>94</v>
      </c>
      <c r="E30" s="6" t="s">
        <v>33</v>
      </c>
      <c r="F30" s="6" t="s">
        <v>34</v>
      </c>
    </row>
    <row r="31" customFormat="false" ht="15" hidden="false" customHeight="false" outlineLevel="0" collapsed="false">
      <c r="A31" s="6" t="s">
        <v>95</v>
      </c>
      <c r="B31" s="6" t="s">
        <v>91</v>
      </c>
      <c r="C31" s="6" t="s">
        <v>31</v>
      </c>
      <c r="D31" s="7" t="s">
        <v>96</v>
      </c>
      <c r="E31" s="6" t="s">
        <v>33</v>
      </c>
      <c r="F31" s="6" t="s">
        <v>34</v>
      </c>
    </row>
    <row r="32" customFormat="false" ht="15" hidden="false" customHeight="false" outlineLevel="0" collapsed="false">
      <c r="A32" s="6" t="s">
        <v>97</v>
      </c>
      <c r="B32" s="6" t="s">
        <v>91</v>
      </c>
      <c r="C32" s="6" t="s">
        <v>31</v>
      </c>
      <c r="D32" s="7" t="s">
        <v>98</v>
      </c>
      <c r="E32" s="6" t="s">
        <v>33</v>
      </c>
      <c r="F32" s="6" t="s">
        <v>34</v>
      </c>
    </row>
    <row r="33" customFormat="false" ht="15" hidden="false" customHeight="false" outlineLevel="0" collapsed="false">
      <c r="A33" s="6" t="s">
        <v>99</v>
      </c>
      <c r="B33" s="6" t="s">
        <v>91</v>
      </c>
      <c r="C33" s="6" t="s">
        <v>31</v>
      </c>
      <c r="D33" s="7" t="s">
        <v>100</v>
      </c>
      <c r="E33" s="6" t="s">
        <v>33</v>
      </c>
      <c r="F33" s="6" t="s">
        <v>34</v>
      </c>
    </row>
    <row r="34" customFormat="false" ht="15" hidden="false" customHeight="false" outlineLevel="0" collapsed="false">
      <c r="A34" s="6" t="s">
        <v>101</v>
      </c>
      <c r="B34" s="6" t="s">
        <v>91</v>
      </c>
      <c r="C34" s="6" t="s">
        <v>31</v>
      </c>
      <c r="D34" s="7" t="s">
        <v>102</v>
      </c>
      <c r="E34" s="6" t="s">
        <v>47</v>
      </c>
      <c r="F34" s="6" t="s">
        <v>34</v>
      </c>
    </row>
    <row r="35" customFormat="false" ht="15" hidden="false" customHeight="false" outlineLevel="0" collapsed="false">
      <c r="A35" s="6" t="s">
        <v>103</v>
      </c>
      <c r="B35" s="6" t="s">
        <v>91</v>
      </c>
      <c r="C35" s="6" t="s">
        <v>31</v>
      </c>
      <c r="D35" s="7" t="s">
        <v>104</v>
      </c>
      <c r="E35" s="6" t="s">
        <v>47</v>
      </c>
      <c r="F35" s="6" t="s">
        <v>34</v>
      </c>
    </row>
    <row r="36" customFormat="false" ht="15" hidden="false" customHeight="false" outlineLevel="0" collapsed="false">
      <c r="A36" s="6" t="s">
        <v>105</v>
      </c>
      <c r="B36" s="6" t="s">
        <v>91</v>
      </c>
      <c r="C36" s="6" t="s">
        <v>31</v>
      </c>
      <c r="D36" s="7" t="s">
        <v>106</v>
      </c>
      <c r="E36" s="6" t="s">
        <v>47</v>
      </c>
      <c r="F36" s="6" t="s">
        <v>34</v>
      </c>
    </row>
    <row r="37" customFormat="false" ht="15" hidden="false" customHeight="false" outlineLevel="0" collapsed="false">
      <c r="A37" s="6" t="s">
        <v>107</v>
      </c>
      <c r="B37" s="6" t="s">
        <v>91</v>
      </c>
      <c r="C37" s="6" t="s">
        <v>31</v>
      </c>
      <c r="D37" s="7" t="s">
        <v>108</v>
      </c>
      <c r="E37" s="6" t="s">
        <v>47</v>
      </c>
      <c r="F37" s="6" t="s">
        <v>34</v>
      </c>
    </row>
    <row r="38" customFormat="false" ht="15" hidden="false" customHeight="false" outlineLevel="0" collapsed="false">
      <c r="A38" s="6" t="s">
        <v>109</v>
      </c>
      <c r="B38" s="6" t="s">
        <v>91</v>
      </c>
      <c r="C38" s="6" t="s">
        <v>31</v>
      </c>
      <c r="D38" s="7" t="s">
        <v>110</v>
      </c>
      <c r="E38" s="6" t="s">
        <v>47</v>
      </c>
      <c r="F38" s="6" t="s">
        <v>34</v>
      </c>
    </row>
    <row r="39" customFormat="false" ht="15" hidden="false" customHeight="false" outlineLevel="0" collapsed="false">
      <c r="A39" s="6" t="s">
        <v>111</v>
      </c>
      <c r="B39" s="6" t="s">
        <v>91</v>
      </c>
      <c r="C39" s="6" t="s">
        <v>31</v>
      </c>
      <c r="D39" s="7" t="s">
        <v>112</v>
      </c>
      <c r="E39" s="6" t="s">
        <v>58</v>
      </c>
      <c r="F39" s="6" t="s">
        <v>34</v>
      </c>
    </row>
    <row r="40" customFormat="false" ht="15" hidden="false" customHeight="false" outlineLevel="0" collapsed="false">
      <c r="A40" s="6" t="s">
        <v>113</v>
      </c>
      <c r="B40" s="6" t="s">
        <v>91</v>
      </c>
      <c r="C40" s="6" t="s">
        <v>31</v>
      </c>
      <c r="D40" s="7" t="s">
        <v>114</v>
      </c>
      <c r="E40" s="6" t="s">
        <v>58</v>
      </c>
      <c r="F40" s="6" t="s">
        <v>34</v>
      </c>
    </row>
    <row r="41" customFormat="false" ht="15" hidden="false" customHeight="false" outlineLevel="0" collapsed="false">
      <c r="A41" s="6" t="s">
        <v>115</v>
      </c>
      <c r="B41" s="6" t="s">
        <v>116</v>
      </c>
      <c r="C41" s="6" t="s">
        <v>117</v>
      </c>
      <c r="D41" s="7" t="s">
        <v>118</v>
      </c>
      <c r="E41" s="6" t="s">
        <v>33</v>
      </c>
      <c r="F41" s="6" t="s">
        <v>34</v>
      </c>
    </row>
    <row r="42" customFormat="false" ht="15" hidden="false" customHeight="false" outlineLevel="0" collapsed="false">
      <c r="A42" s="6" t="s">
        <v>119</v>
      </c>
      <c r="B42" s="6" t="s">
        <v>116</v>
      </c>
      <c r="C42" s="6" t="s">
        <v>120</v>
      </c>
      <c r="D42" s="7" t="s">
        <v>121</v>
      </c>
      <c r="E42" s="6" t="s">
        <v>33</v>
      </c>
      <c r="F42" s="6" t="s">
        <v>34</v>
      </c>
    </row>
    <row r="43" customFormat="false" ht="15" hidden="false" customHeight="false" outlineLevel="0" collapsed="false">
      <c r="A43" s="6" t="s">
        <v>122</v>
      </c>
      <c r="B43" s="6" t="s">
        <v>116</v>
      </c>
      <c r="C43" s="6" t="s">
        <v>123</v>
      </c>
      <c r="D43" s="7" t="s">
        <v>124</v>
      </c>
      <c r="E43" s="6" t="s">
        <v>33</v>
      </c>
      <c r="F43" s="6" t="s">
        <v>34</v>
      </c>
    </row>
    <row r="44" customFormat="false" ht="15" hidden="false" customHeight="false" outlineLevel="0" collapsed="false">
      <c r="A44" s="6" t="s">
        <v>125</v>
      </c>
      <c r="B44" s="6" t="s">
        <v>116</v>
      </c>
      <c r="C44" s="6" t="s">
        <v>126</v>
      </c>
      <c r="D44" s="7" t="s">
        <v>127</v>
      </c>
      <c r="E44" s="6" t="s">
        <v>33</v>
      </c>
      <c r="F44" s="6" t="s">
        <v>34</v>
      </c>
    </row>
    <row r="45" customFormat="false" ht="15" hidden="false" customHeight="false" outlineLevel="0" collapsed="false">
      <c r="A45" s="6" t="s">
        <v>128</v>
      </c>
      <c r="B45" s="6" t="s">
        <v>116</v>
      </c>
      <c r="C45" s="6" t="s">
        <v>129</v>
      </c>
      <c r="D45" s="7" t="s">
        <v>130</v>
      </c>
      <c r="E45" s="6" t="s">
        <v>47</v>
      </c>
      <c r="F45" s="6" t="s">
        <v>34</v>
      </c>
    </row>
    <row r="46" customFormat="false" ht="15" hidden="false" customHeight="false" outlineLevel="0" collapsed="false">
      <c r="A46" s="6" t="s">
        <v>131</v>
      </c>
      <c r="B46" s="6" t="s">
        <v>116</v>
      </c>
      <c r="C46" s="6" t="s">
        <v>132</v>
      </c>
      <c r="D46" s="7" t="s">
        <v>133</v>
      </c>
      <c r="E46" s="6" t="s">
        <v>47</v>
      </c>
      <c r="F46" s="6" t="s">
        <v>34</v>
      </c>
    </row>
    <row r="47" customFormat="false" ht="15" hidden="false" customHeight="false" outlineLevel="0" collapsed="false">
      <c r="A47" s="6" t="s">
        <v>134</v>
      </c>
      <c r="B47" s="6" t="s">
        <v>116</v>
      </c>
      <c r="C47" s="6" t="s">
        <v>135</v>
      </c>
      <c r="D47" s="7" t="s">
        <v>136</v>
      </c>
      <c r="E47" s="6" t="s">
        <v>47</v>
      </c>
      <c r="F47" s="6" t="s">
        <v>34</v>
      </c>
    </row>
    <row r="48" customFormat="false" ht="15" hidden="false" customHeight="false" outlineLevel="0" collapsed="false">
      <c r="A48" s="6" t="s">
        <v>137</v>
      </c>
      <c r="B48" s="6" t="s">
        <v>116</v>
      </c>
      <c r="C48" s="6" t="s">
        <v>138</v>
      </c>
      <c r="D48" s="7" t="s">
        <v>139</v>
      </c>
      <c r="E48" s="6" t="s">
        <v>47</v>
      </c>
      <c r="F48" s="6" t="s">
        <v>34</v>
      </c>
    </row>
    <row r="49" customFormat="false" ht="15" hidden="false" customHeight="false" outlineLevel="0" collapsed="false">
      <c r="A49" s="6" t="s">
        <v>140</v>
      </c>
      <c r="B49" s="6" t="s">
        <v>116</v>
      </c>
      <c r="C49" s="6" t="s">
        <v>141</v>
      </c>
      <c r="D49" s="7" t="s">
        <v>142</v>
      </c>
      <c r="E49" s="6" t="s">
        <v>58</v>
      </c>
      <c r="F49" s="6" t="s">
        <v>34</v>
      </c>
    </row>
    <row r="50" customFormat="false" ht="15" hidden="false" customHeight="false" outlineLevel="0" collapsed="false">
      <c r="A50" s="6" t="s">
        <v>143</v>
      </c>
      <c r="B50" s="6" t="s">
        <v>116</v>
      </c>
      <c r="C50" s="6" t="s">
        <v>144</v>
      </c>
      <c r="D50" s="7" t="s">
        <v>145</v>
      </c>
      <c r="E50" s="6" t="s">
        <v>58</v>
      </c>
      <c r="F50" s="6" t="s">
        <v>34</v>
      </c>
    </row>
  </sheetData>
  <dataValidations count="2">
    <dataValidation allowBlank="true" errorStyle="stop" operator="between" showDropDown="false" showErrorMessage="false" showInputMessage="false" sqref="F2:F50" type="list">
      <formula1>"Not Started,In Progress,Done,Blocked"</formula1>
      <formula2>0</formula2>
    </dataValidation>
    <dataValidation allowBlank="true" errorStyle="stop" operator="between" showDropDown="false" showErrorMessage="false" showInputMessage="false" sqref="E2:E50" type="list">
      <formula1>"Must,Should,Could"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8"/>
    <col collapsed="false" customWidth="true" hidden="false" outlineLevel="0" max="6" min="5" style="0" width="16"/>
  </cols>
  <sheetData>
    <row r="1" customFormat="false" ht="15" hidden="false" customHeight="false" outlineLevel="0" collapsed="false">
      <c r="A1" s="5" t="s">
        <v>146</v>
      </c>
      <c r="B1" s="5" t="s">
        <v>147</v>
      </c>
      <c r="C1" s="5" t="s">
        <v>148</v>
      </c>
      <c r="D1" s="5" t="s">
        <v>149</v>
      </c>
      <c r="E1" s="5" t="s">
        <v>150</v>
      </c>
      <c r="F1" s="5" t="s">
        <v>151</v>
      </c>
    </row>
    <row r="2" customFormat="false" ht="15" hidden="false" customHeight="false" outlineLevel="0" collapsed="false">
      <c r="A2" s="8" t="n">
        <v>1</v>
      </c>
      <c r="B2" s="7" t="s">
        <v>152</v>
      </c>
      <c r="C2" s="7" t="s">
        <v>153</v>
      </c>
      <c r="D2" s="8" t="n">
        <v>1</v>
      </c>
      <c r="E2" s="9" t="n">
        <v>7</v>
      </c>
      <c r="F2" s="9" t="n">
        <f aca="false">D2*E2</f>
        <v>7</v>
      </c>
    </row>
    <row r="3" customFormat="false" ht="15" hidden="false" customHeight="false" outlineLevel="0" collapsed="false">
      <c r="A3" s="8" t="n">
        <v>2</v>
      </c>
      <c r="B3" s="7" t="s">
        <v>154</v>
      </c>
      <c r="C3" s="7" t="s">
        <v>155</v>
      </c>
      <c r="D3" s="8" t="n">
        <v>1</v>
      </c>
      <c r="E3" s="9" t="n">
        <v>12</v>
      </c>
      <c r="F3" s="9" t="n">
        <f aca="false">D3*E3</f>
        <v>12</v>
      </c>
    </row>
    <row r="4" customFormat="false" ht="15" hidden="false" customHeight="false" outlineLevel="0" collapsed="false">
      <c r="A4" s="8" t="n">
        <v>3</v>
      </c>
      <c r="B4" s="7" t="s">
        <v>156</v>
      </c>
      <c r="C4" s="7" t="s">
        <v>157</v>
      </c>
      <c r="D4" s="8" t="n">
        <v>2</v>
      </c>
      <c r="E4" s="9" t="n">
        <v>2</v>
      </c>
      <c r="F4" s="9" t="n">
        <f aca="false">D4*E4</f>
        <v>4</v>
      </c>
    </row>
    <row r="5" customFormat="false" ht="15" hidden="false" customHeight="false" outlineLevel="0" collapsed="false">
      <c r="A5" s="8" t="n">
        <v>4</v>
      </c>
      <c r="B5" s="7" t="s">
        <v>158</v>
      </c>
      <c r="C5" s="7" t="s">
        <v>159</v>
      </c>
      <c r="D5" s="8" t="n">
        <v>1</v>
      </c>
      <c r="E5" s="9" t="n">
        <v>4.5</v>
      </c>
      <c r="F5" s="9" t="n">
        <f aca="false">D5*E5</f>
        <v>4.5</v>
      </c>
    </row>
    <row r="6" customFormat="false" ht="15" hidden="false" customHeight="false" outlineLevel="0" collapsed="false">
      <c r="A6" s="8" t="n">
        <v>5</v>
      </c>
      <c r="B6" s="7" t="s">
        <v>160</v>
      </c>
      <c r="C6" s="7" t="s">
        <v>161</v>
      </c>
      <c r="D6" s="8" t="n">
        <v>1</v>
      </c>
      <c r="E6" s="9" t="n">
        <v>6</v>
      </c>
      <c r="F6" s="9" t="n">
        <f aca="false">D6*E6</f>
        <v>6</v>
      </c>
    </row>
    <row r="7" customFormat="false" ht="15" hidden="false" customHeight="false" outlineLevel="0" collapsed="false">
      <c r="A7" s="8" t="n">
        <v>6</v>
      </c>
      <c r="B7" s="7" t="s">
        <v>162</v>
      </c>
      <c r="C7" s="7" t="s">
        <v>163</v>
      </c>
      <c r="D7" s="8" t="n">
        <v>1</v>
      </c>
      <c r="E7" s="9" t="n">
        <v>20</v>
      </c>
      <c r="F7" s="9" t="n">
        <f aca="false">D7*E7</f>
        <v>20</v>
      </c>
    </row>
    <row r="8" customFormat="false" ht="26.85" hidden="false" customHeight="false" outlineLevel="0" collapsed="false">
      <c r="A8" s="8" t="n">
        <v>7</v>
      </c>
      <c r="B8" s="7" t="s">
        <v>164</v>
      </c>
      <c r="C8" s="7" t="s">
        <v>165</v>
      </c>
      <c r="D8" s="8" t="n">
        <v>1</v>
      </c>
      <c r="E8" s="9" t="n">
        <v>30</v>
      </c>
      <c r="F8" s="9" t="n">
        <f aca="false">D8*E8</f>
        <v>30</v>
      </c>
    </row>
    <row r="9" customFormat="false" ht="15" hidden="false" customHeight="false" outlineLevel="0" collapsed="false">
      <c r="A9" s="8" t="n">
        <v>8</v>
      </c>
      <c r="B9" s="7" t="s">
        <v>166</v>
      </c>
      <c r="C9" s="7" t="s">
        <v>167</v>
      </c>
      <c r="D9" s="8" t="n">
        <v>1</v>
      </c>
      <c r="E9" s="9" t="n">
        <v>20</v>
      </c>
      <c r="F9" s="9" t="n">
        <f aca="false">D9*E9</f>
        <v>20</v>
      </c>
    </row>
    <row r="10" customFormat="false" ht="15" hidden="false" customHeight="false" outlineLevel="0" collapsed="false">
      <c r="B10" s="10" t="s">
        <v>168</v>
      </c>
      <c r="C10" s="10"/>
      <c r="D10" s="10"/>
      <c r="E10" s="10"/>
      <c r="F10" s="11" t="n">
        <f aca="false">SUM(F2:F9)</f>
        <v>103.5</v>
      </c>
    </row>
  </sheetData>
  <mergeCells count="1">
    <mergeCell ref="B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5" t="s">
        <v>169</v>
      </c>
      <c r="B1" s="5" t="s">
        <v>170</v>
      </c>
      <c r="C1" s="5" t="s">
        <v>171</v>
      </c>
    </row>
    <row r="2" customFormat="false" ht="15" hidden="false" customHeight="false" outlineLevel="0" collapsed="false">
      <c r="A2" s="7" t="s">
        <v>30</v>
      </c>
      <c r="B2" s="7" t="s">
        <v>172</v>
      </c>
      <c r="C2" s="7" t="s">
        <v>173</v>
      </c>
    </row>
    <row r="3" customFormat="false" ht="15" hidden="false" customHeight="false" outlineLevel="0" collapsed="false">
      <c r="A3" s="7" t="s">
        <v>30</v>
      </c>
      <c r="B3" s="7" t="s">
        <v>174</v>
      </c>
      <c r="C3" s="7" t="s">
        <v>175</v>
      </c>
    </row>
    <row r="4" customFormat="false" ht="26.85" hidden="false" customHeight="false" outlineLevel="0" collapsed="false">
      <c r="A4" s="7" t="s">
        <v>30</v>
      </c>
      <c r="B4" s="7" t="s">
        <v>176</v>
      </c>
      <c r="C4" s="7" t="s">
        <v>177</v>
      </c>
    </row>
    <row r="5" customFormat="false" ht="15" hidden="false" customHeight="false" outlineLevel="0" collapsed="false">
      <c r="A5" s="7" t="s">
        <v>62</v>
      </c>
      <c r="B5" s="7" t="s">
        <v>178</v>
      </c>
      <c r="C5" s="7" t="s">
        <v>179</v>
      </c>
    </row>
    <row r="6" customFormat="false" ht="15" hidden="false" customHeight="false" outlineLevel="0" collapsed="false">
      <c r="A6" s="7" t="s">
        <v>62</v>
      </c>
      <c r="B6" s="7" t="s">
        <v>180</v>
      </c>
      <c r="C6" s="7" t="s">
        <v>181</v>
      </c>
    </row>
    <row r="7" customFormat="false" ht="15" hidden="false" customHeight="false" outlineLevel="0" collapsed="false">
      <c r="A7" s="7" t="s">
        <v>62</v>
      </c>
      <c r="B7" s="7" t="s">
        <v>182</v>
      </c>
      <c r="C7" s="7" t="s">
        <v>183</v>
      </c>
    </row>
    <row r="8" customFormat="false" ht="15" hidden="false" customHeight="false" outlineLevel="0" collapsed="false">
      <c r="A8" s="7" t="s">
        <v>62</v>
      </c>
      <c r="B8" s="7" t="s">
        <v>184</v>
      </c>
      <c r="C8" s="7" t="s">
        <v>185</v>
      </c>
    </row>
    <row r="9" customFormat="false" ht="15" hidden="false" customHeight="false" outlineLevel="0" collapsed="false">
      <c r="A9" s="7" t="s">
        <v>62</v>
      </c>
      <c r="B9" s="7" t="s">
        <v>186</v>
      </c>
      <c r="C9" s="7" t="s">
        <v>187</v>
      </c>
    </row>
    <row r="10" customFormat="false" ht="15" hidden="false" customHeight="false" outlineLevel="0" collapsed="false">
      <c r="A10" s="7" t="s">
        <v>62</v>
      </c>
      <c r="B10" s="7" t="s">
        <v>188</v>
      </c>
      <c r="C10" s="7" t="s">
        <v>189</v>
      </c>
    </row>
    <row r="11" customFormat="false" ht="15" hidden="false" customHeight="false" outlineLevel="0" collapsed="false">
      <c r="A11" s="7" t="s">
        <v>91</v>
      </c>
      <c r="B11" s="7" t="s">
        <v>178</v>
      </c>
      <c r="C11" s="7" t="s">
        <v>190</v>
      </c>
    </row>
    <row r="12" customFormat="false" ht="15" hidden="false" customHeight="false" outlineLevel="0" collapsed="false">
      <c r="A12" s="7" t="s">
        <v>91</v>
      </c>
      <c r="B12" s="7" t="s">
        <v>191</v>
      </c>
      <c r="C12" s="7" t="s">
        <v>192</v>
      </c>
    </row>
    <row r="13" customFormat="false" ht="15" hidden="false" customHeight="false" outlineLevel="0" collapsed="false">
      <c r="A13" s="7" t="s">
        <v>91</v>
      </c>
      <c r="B13" s="7" t="s">
        <v>193</v>
      </c>
      <c r="C13" s="7" t="s">
        <v>194</v>
      </c>
    </row>
    <row r="14" customFormat="false" ht="15" hidden="false" customHeight="false" outlineLevel="0" collapsed="false">
      <c r="A14" s="7" t="s">
        <v>91</v>
      </c>
      <c r="B14" s="7" t="s">
        <v>195</v>
      </c>
      <c r="C14" s="7" t="s">
        <v>196</v>
      </c>
    </row>
    <row r="15" customFormat="false" ht="15" hidden="false" customHeight="false" outlineLevel="0" collapsed="false">
      <c r="A15" s="7" t="s">
        <v>91</v>
      </c>
      <c r="B15" s="7" t="s">
        <v>197</v>
      </c>
      <c r="C15" s="7" t="s">
        <v>198</v>
      </c>
    </row>
    <row r="16" customFormat="false" ht="15" hidden="false" customHeight="false" outlineLevel="0" collapsed="false">
      <c r="A16" s="7" t="s">
        <v>91</v>
      </c>
      <c r="B16" s="7" t="s">
        <v>199</v>
      </c>
      <c r="C16" s="7" t="s">
        <v>200</v>
      </c>
    </row>
    <row r="17" customFormat="false" ht="15" hidden="false" customHeight="false" outlineLevel="0" collapsed="false">
      <c r="A17" s="7" t="s">
        <v>91</v>
      </c>
      <c r="B17" s="7" t="s">
        <v>135</v>
      </c>
      <c r="C17" s="7" t="s">
        <v>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5" t="s">
        <v>202</v>
      </c>
      <c r="B1" s="5" t="s">
        <v>203</v>
      </c>
      <c r="C1" s="5" t="s">
        <v>204</v>
      </c>
      <c r="D1" s="5" t="s">
        <v>205</v>
      </c>
    </row>
    <row r="2" customFormat="false" ht="15" hidden="false" customHeight="false" outlineLevel="0" collapsed="false">
      <c r="A2" s="12" t="s">
        <v>206</v>
      </c>
      <c r="B2" s="7" t="s">
        <v>207</v>
      </c>
      <c r="C2" s="7" t="s">
        <v>208</v>
      </c>
      <c r="D2" s="7"/>
    </row>
    <row r="3" customFormat="false" ht="15" hidden="false" customHeight="false" outlineLevel="0" collapsed="false">
      <c r="A3" s="7"/>
      <c r="B3" s="7" t="s">
        <v>209</v>
      </c>
      <c r="C3" s="7" t="s">
        <v>210</v>
      </c>
      <c r="D3" s="7" t="s">
        <v>211</v>
      </c>
    </row>
    <row r="4" customFormat="false" ht="15" hidden="false" customHeight="false" outlineLevel="0" collapsed="false">
      <c r="A4" s="7"/>
      <c r="B4" s="7" t="s">
        <v>212</v>
      </c>
      <c r="C4" s="7" t="s">
        <v>213</v>
      </c>
      <c r="D4" s="7"/>
    </row>
    <row r="5" customFormat="false" ht="15" hidden="false" customHeight="false" outlineLevel="0" collapsed="false">
      <c r="A5" s="7"/>
      <c r="B5" s="7" t="s">
        <v>214</v>
      </c>
      <c r="C5" s="7" t="s">
        <v>213</v>
      </c>
      <c r="D5" s="7" t="s">
        <v>215</v>
      </c>
    </row>
    <row r="6" customFormat="false" ht="15" hidden="false" customHeight="false" outlineLevel="0" collapsed="false">
      <c r="A6" s="12" t="s">
        <v>216</v>
      </c>
      <c r="B6" s="7" t="s">
        <v>207</v>
      </c>
      <c r="C6" s="7" t="s">
        <v>208</v>
      </c>
      <c r="D6" s="7"/>
    </row>
    <row r="7" customFormat="false" ht="15" hidden="false" customHeight="false" outlineLevel="0" collapsed="false">
      <c r="A7" s="7"/>
      <c r="B7" s="7" t="s">
        <v>217</v>
      </c>
      <c r="C7" s="7" t="s">
        <v>218</v>
      </c>
      <c r="D7" s="7"/>
    </row>
    <row r="8" customFormat="false" ht="15" hidden="false" customHeight="false" outlineLevel="0" collapsed="false">
      <c r="A8" s="7"/>
      <c r="B8" s="7" t="s">
        <v>219</v>
      </c>
      <c r="C8" s="7" t="s">
        <v>220</v>
      </c>
      <c r="D8" s="7" t="s">
        <v>221</v>
      </c>
    </row>
    <row r="9" customFormat="false" ht="15" hidden="false" customHeight="false" outlineLevel="0" collapsed="false">
      <c r="A9" s="7"/>
      <c r="B9" s="7" t="s">
        <v>222</v>
      </c>
      <c r="C9" s="7" t="s">
        <v>223</v>
      </c>
      <c r="D9" s="7" t="s">
        <v>224</v>
      </c>
    </row>
    <row r="10" customFormat="false" ht="15" hidden="false" customHeight="false" outlineLevel="0" collapsed="false">
      <c r="A10" s="7"/>
      <c r="B10" s="7" t="s">
        <v>225</v>
      </c>
      <c r="C10" s="7" t="s">
        <v>226</v>
      </c>
      <c r="D10" s="7" t="s">
        <v>215</v>
      </c>
    </row>
    <row r="11" customFormat="false" ht="15" hidden="false" customHeight="false" outlineLevel="0" collapsed="false">
      <c r="A11" s="12" t="s">
        <v>227</v>
      </c>
      <c r="B11" s="7" t="s">
        <v>207</v>
      </c>
      <c r="C11" s="7" t="s">
        <v>208</v>
      </c>
      <c r="D11" s="7"/>
    </row>
    <row r="12" customFormat="false" ht="15" hidden="false" customHeight="false" outlineLevel="0" collapsed="false">
      <c r="A12" s="7"/>
      <c r="B12" s="7" t="s">
        <v>228</v>
      </c>
      <c r="C12" s="7" t="s">
        <v>229</v>
      </c>
      <c r="D12" s="7"/>
    </row>
    <row r="13" customFormat="false" ht="15" hidden="false" customHeight="false" outlineLevel="0" collapsed="false">
      <c r="A13" s="7"/>
      <c r="B13" s="7" t="s">
        <v>230</v>
      </c>
      <c r="C13" s="7" t="s">
        <v>231</v>
      </c>
      <c r="D13" s="7" t="s">
        <v>232</v>
      </c>
    </row>
    <row r="14" customFormat="false" ht="15" hidden="false" customHeight="false" outlineLevel="0" collapsed="false">
      <c r="A14" s="7"/>
      <c r="B14" s="7" t="s">
        <v>233</v>
      </c>
      <c r="C14" s="7" t="s">
        <v>231</v>
      </c>
      <c r="D14" s="7" t="s">
        <v>234</v>
      </c>
    </row>
    <row r="15" customFormat="false" ht="15" hidden="false" customHeight="false" outlineLevel="0" collapsed="false">
      <c r="A15" s="7"/>
      <c r="B15" s="7" t="s">
        <v>235</v>
      </c>
      <c r="C15" s="7" t="s">
        <v>231</v>
      </c>
      <c r="D15" s="7" t="s">
        <v>232</v>
      </c>
    </row>
    <row r="16" customFormat="false" ht="15" hidden="false" customHeight="false" outlineLevel="0" collapsed="false">
      <c r="A16" s="7"/>
      <c r="B16" s="7" t="s">
        <v>236</v>
      </c>
      <c r="C16" s="7" t="s">
        <v>231</v>
      </c>
      <c r="D16" s="7" t="s">
        <v>237</v>
      </c>
    </row>
    <row r="17" customFormat="false" ht="15" hidden="false" customHeight="false" outlineLevel="0" collapsed="false">
      <c r="A17" s="7"/>
      <c r="B17" s="7" t="s">
        <v>238</v>
      </c>
      <c r="C17" s="7" t="s">
        <v>226</v>
      </c>
      <c r="D17" s="7" t="s">
        <v>239</v>
      </c>
    </row>
    <row r="18" customFormat="false" ht="15" hidden="false" customHeight="false" outlineLevel="0" collapsed="false">
      <c r="A18" s="12" t="s">
        <v>240</v>
      </c>
      <c r="B18" s="7" t="s">
        <v>207</v>
      </c>
      <c r="C18" s="7" t="s">
        <v>208</v>
      </c>
      <c r="D18" s="7"/>
    </row>
    <row r="19" customFormat="false" ht="15" hidden="false" customHeight="false" outlineLevel="0" collapsed="false">
      <c r="A19" s="7"/>
      <c r="B19" s="7" t="s">
        <v>228</v>
      </c>
      <c r="C19" s="7" t="s">
        <v>229</v>
      </c>
      <c r="D19" s="7"/>
    </row>
    <row r="20" customFormat="false" ht="15" hidden="false" customHeight="false" outlineLevel="0" collapsed="false">
      <c r="A20" s="7"/>
      <c r="B20" s="7" t="s">
        <v>241</v>
      </c>
      <c r="C20" s="7" t="s">
        <v>223</v>
      </c>
      <c r="D20" s="7" t="s">
        <v>242</v>
      </c>
    </row>
    <row r="21" customFormat="false" ht="15" hidden="false" customHeight="false" outlineLevel="0" collapsed="false">
      <c r="A21" s="7"/>
      <c r="B21" s="7" t="s">
        <v>243</v>
      </c>
      <c r="C21" s="7" t="s">
        <v>210</v>
      </c>
      <c r="D21" s="7" t="s">
        <v>244</v>
      </c>
    </row>
    <row r="22" customFormat="false" ht="15" hidden="false" customHeight="false" outlineLevel="0" collapsed="false">
      <c r="A22" s="7"/>
      <c r="B22" s="7" t="s">
        <v>245</v>
      </c>
      <c r="C22" s="7" t="s">
        <v>246</v>
      </c>
      <c r="D22" s="7"/>
    </row>
    <row r="23" customFormat="false" ht="15" hidden="false" customHeight="false" outlineLevel="0" collapsed="false">
      <c r="A23" s="7"/>
      <c r="B23" s="7" t="s">
        <v>247</v>
      </c>
      <c r="C23" s="7" t="s">
        <v>231</v>
      </c>
      <c r="D23" s="7"/>
    </row>
    <row r="24" customFormat="false" ht="15" hidden="false" customHeight="false" outlineLevel="0" collapsed="false">
      <c r="A24" s="7"/>
      <c r="B24" s="7" t="s">
        <v>248</v>
      </c>
      <c r="C24" s="7" t="s">
        <v>231</v>
      </c>
      <c r="D24" s="7"/>
    </row>
    <row r="25" customFormat="false" ht="15" hidden="false" customHeight="false" outlineLevel="0" collapsed="false">
      <c r="A25" s="7"/>
      <c r="B25" s="7" t="s">
        <v>249</v>
      </c>
      <c r="C25" s="7" t="s">
        <v>226</v>
      </c>
      <c r="D25" s="7" t="s">
        <v>250</v>
      </c>
    </row>
    <row r="26" customFormat="false" ht="15" hidden="false" customHeight="false" outlineLevel="0" collapsed="false">
      <c r="A26" s="12" t="s">
        <v>251</v>
      </c>
      <c r="B26" s="7" t="s">
        <v>207</v>
      </c>
      <c r="C26" s="7" t="s">
        <v>208</v>
      </c>
      <c r="D26" s="7"/>
    </row>
    <row r="27" customFormat="false" ht="15" hidden="false" customHeight="false" outlineLevel="0" collapsed="false">
      <c r="A27" s="7"/>
      <c r="B27" s="7" t="s">
        <v>228</v>
      </c>
      <c r="C27" s="7" t="s">
        <v>229</v>
      </c>
      <c r="D27" s="7" t="s">
        <v>252</v>
      </c>
    </row>
    <row r="28" customFormat="false" ht="15" hidden="false" customHeight="false" outlineLevel="0" collapsed="false">
      <c r="A28" s="7"/>
      <c r="B28" s="7" t="s">
        <v>253</v>
      </c>
      <c r="C28" s="7" t="s">
        <v>213</v>
      </c>
      <c r="D28" s="7"/>
    </row>
    <row r="29" customFormat="false" ht="15" hidden="false" customHeight="false" outlineLevel="0" collapsed="false">
      <c r="A29" s="7"/>
      <c r="B29" s="7" t="s">
        <v>254</v>
      </c>
      <c r="C29" s="7" t="s">
        <v>231</v>
      </c>
      <c r="D29" s="7" t="s">
        <v>255</v>
      </c>
    </row>
    <row r="30" customFormat="false" ht="15" hidden="false" customHeight="false" outlineLevel="0" collapsed="false">
      <c r="A30" s="7"/>
      <c r="B30" s="7" t="s">
        <v>256</v>
      </c>
      <c r="C30" s="7" t="s">
        <v>223</v>
      </c>
      <c r="D30" s="7" t="s">
        <v>257</v>
      </c>
    </row>
    <row r="31" customFormat="false" ht="15" hidden="false" customHeight="false" outlineLevel="0" collapsed="false">
      <c r="A31" s="7"/>
      <c r="B31" s="7" t="s">
        <v>258</v>
      </c>
      <c r="C31" s="7" t="s">
        <v>226</v>
      </c>
      <c r="D31" s="7"/>
    </row>
    <row r="32" customFormat="false" ht="15" hidden="false" customHeight="false" outlineLevel="0" collapsed="false">
      <c r="A32" s="12" t="s">
        <v>259</v>
      </c>
      <c r="B32" s="7" t="s">
        <v>207</v>
      </c>
      <c r="C32" s="7" t="s">
        <v>208</v>
      </c>
      <c r="D32" s="7"/>
    </row>
    <row r="33" customFormat="false" ht="15" hidden="false" customHeight="false" outlineLevel="0" collapsed="false">
      <c r="A33" s="7"/>
      <c r="B33" s="7" t="s">
        <v>217</v>
      </c>
      <c r="C33" s="7" t="s">
        <v>218</v>
      </c>
      <c r="D33" s="7"/>
    </row>
    <row r="34" customFormat="false" ht="15" hidden="false" customHeight="false" outlineLevel="0" collapsed="false">
      <c r="A34" s="7"/>
      <c r="B34" s="7" t="s">
        <v>260</v>
      </c>
      <c r="C34" s="7" t="s">
        <v>260</v>
      </c>
      <c r="D34" s="7"/>
    </row>
    <row r="35" customFormat="false" ht="15" hidden="false" customHeight="false" outlineLevel="0" collapsed="false">
      <c r="A35" s="7"/>
      <c r="B35" s="7" t="s">
        <v>247</v>
      </c>
      <c r="C35" s="7" t="s">
        <v>231</v>
      </c>
      <c r="D35" s="7" t="s">
        <v>261</v>
      </c>
    </row>
    <row r="36" customFormat="false" ht="15" hidden="false" customHeight="false" outlineLevel="0" collapsed="false">
      <c r="A36" s="7"/>
      <c r="B36" s="7" t="s">
        <v>248</v>
      </c>
      <c r="C36" s="7" t="s">
        <v>231</v>
      </c>
      <c r="D36" s="7" t="s">
        <v>261</v>
      </c>
    </row>
    <row r="37" customFormat="false" ht="15" hidden="false" customHeight="false" outlineLevel="0" collapsed="false">
      <c r="A37" s="7"/>
      <c r="B37" s="7" t="s">
        <v>262</v>
      </c>
      <c r="C37" s="7" t="s">
        <v>231</v>
      </c>
      <c r="D37" s="7" t="s">
        <v>263</v>
      </c>
    </row>
    <row r="38" customFormat="false" ht="15" hidden="false" customHeight="false" outlineLevel="0" collapsed="false">
      <c r="A38" s="12" t="s">
        <v>264</v>
      </c>
      <c r="B38" s="7" t="s">
        <v>207</v>
      </c>
      <c r="C38" s="7" t="s">
        <v>208</v>
      </c>
      <c r="D38" s="7"/>
    </row>
    <row r="39" customFormat="false" ht="15" hidden="false" customHeight="false" outlineLevel="0" collapsed="false">
      <c r="A39" s="7"/>
      <c r="B39" s="7" t="s">
        <v>228</v>
      </c>
      <c r="C39" s="7" t="s">
        <v>229</v>
      </c>
      <c r="D39" s="7"/>
    </row>
    <row r="40" customFormat="false" ht="15" hidden="false" customHeight="false" outlineLevel="0" collapsed="false">
      <c r="A40" s="7"/>
      <c r="B40" s="7" t="s">
        <v>265</v>
      </c>
      <c r="C40" s="7" t="s">
        <v>223</v>
      </c>
      <c r="D40" s="7" t="s">
        <v>266</v>
      </c>
    </row>
    <row r="41" customFormat="false" ht="15" hidden="false" customHeight="false" outlineLevel="0" collapsed="false">
      <c r="A41" s="7"/>
      <c r="B41" s="7" t="s">
        <v>256</v>
      </c>
      <c r="C41" s="7" t="s">
        <v>223</v>
      </c>
      <c r="D41" s="7" t="s">
        <v>267</v>
      </c>
    </row>
    <row r="42" customFormat="false" ht="15" hidden="false" customHeight="false" outlineLevel="0" collapsed="false">
      <c r="A42" s="12" t="s">
        <v>268</v>
      </c>
      <c r="B42" s="7" t="s">
        <v>207</v>
      </c>
      <c r="C42" s="7" t="s">
        <v>208</v>
      </c>
      <c r="D42" s="7"/>
    </row>
    <row r="43" customFormat="false" ht="15" hidden="false" customHeight="false" outlineLevel="0" collapsed="false">
      <c r="A43" s="7"/>
      <c r="B43" s="7" t="s">
        <v>212</v>
      </c>
      <c r="C43" s="7" t="s">
        <v>213</v>
      </c>
      <c r="D43" s="7"/>
    </row>
    <row r="44" customFormat="false" ht="15" hidden="false" customHeight="false" outlineLevel="0" collapsed="false">
      <c r="A44" s="7"/>
      <c r="B44" s="7" t="s">
        <v>269</v>
      </c>
      <c r="C44" s="7" t="s">
        <v>213</v>
      </c>
      <c r="D44" s="7" t="s">
        <v>270</v>
      </c>
    </row>
    <row r="45" customFormat="false" ht="15" hidden="false" customHeight="false" outlineLevel="0" collapsed="false">
      <c r="A45" s="7"/>
      <c r="B45" s="7" t="s">
        <v>271</v>
      </c>
      <c r="C45" s="7" t="s">
        <v>272</v>
      </c>
      <c r="D4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5" t="s">
        <v>273</v>
      </c>
      <c r="B1" s="5" t="s">
        <v>274</v>
      </c>
      <c r="C1" s="5" t="s">
        <v>275</v>
      </c>
    </row>
    <row r="2" customFormat="false" ht="26.85" hidden="false" customHeight="false" outlineLevel="0" collapsed="false">
      <c r="A2" s="7" t="s">
        <v>276</v>
      </c>
      <c r="B2" s="7" t="s">
        <v>277</v>
      </c>
      <c r="C2" s="7" t="s">
        <v>278</v>
      </c>
    </row>
    <row r="3" customFormat="false" ht="26.85" hidden="false" customHeight="false" outlineLevel="0" collapsed="false">
      <c r="A3" s="7" t="s">
        <v>279</v>
      </c>
      <c r="B3" s="7" t="s">
        <v>280</v>
      </c>
      <c r="C3" s="7" t="s">
        <v>281</v>
      </c>
    </row>
    <row r="4" customFormat="false" ht="26.85" hidden="false" customHeight="false" outlineLevel="0" collapsed="false">
      <c r="A4" s="7" t="s">
        <v>282</v>
      </c>
      <c r="B4" s="7" t="s">
        <v>283</v>
      </c>
      <c r="C4" s="7" t="s">
        <v>284</v>
      </c>
    </row>
    <row r="5" customFormat="false" ht="26.85" hidden="false" customHeight="false" outlineLevel="0" collapsed="false">
      <c r="A5" s="7" t="s">
        <v>285</v>
      </c>
      <c r="B5" s="7" t="s">
        <v>286</v>
      </c>
      <c r="C5" s="7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2026-07-11T02:25:13Z</dcterms:created>
  <dc:creator>openpyxl</dc:creator>
  <dc:description/>
  <dc:language>en-US</dc:language>
  <cp:lastModifiedBy/>
  <dcterms:modified xsi:type="dcterms:W3CDTF">2026-07-11T02:25:13Z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