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c155e7517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ef09dbf7e15442e"/>
    <x:sheet xmlns:r="http://schemas.openxmlformats.org/officeDocument/2006/relationships" name="Lists" sheetId="2" r:id="Re1930243b8744cc9"/>
    <x:sheet xmlns:r="http://schemas.openxmlformats.org/officeDocument/2006/relationships" name="Document Register" sheetId="3" r:id="R32769756eeb04bef"/>
    <x:sheet xmlns:r="http://schemas.openxmlformats.org/officeDocument/2006/relationships" name="Requirements" sheetId="4" r:id="R6bc74329c4f94031"/>
    <x:sheet xmlns:r="http://schemas.openxmlformats.org/officeDocument/2006/relationships" name="RTM" sheetId="5" r:id="R947e64934d174d93"/>
    <x:sheet xmlns:r="http://schemas.openxmlformats.org/officeDocument/2006/relationships" name="WBS Schedule" sheetId="6" r:id="Rd31891da69bc426f"/>
    <x:sheet xmlns:r="http://schemas.openxmlformats.org/officeDocument/2006/relationships" name="Budget &amp; BOM" sheetId="7" r:id="R99fd3ed0893e4469"/>
    <x:sheet xmlns:r="http://schemas.openxmlformats.org/officeDocument/2006/relationships" name="Stakeholders" sheetId="8" r:id="Ra3ffb31364aa438d"/>
    <x:sheet xmlns:r="http://schemas.openxmlformats.org/officeDocument/2006/relationships" name="RACI" sheetId="9" r:id="Rcc616e843a7c4f5c"/>
    <x:sheet xmlns:r="http://schemas.openxmlformats.org/officeDocument/2006/relationships" name="Risks" sheetId="10" r:id="R2a90f54db87745ac"/>
    <x:sheet xmlns:r="http://schemas.openxmlformats.org/officeDocument/2006/relationships" name="Issues" sheetId="11" r:id="R111d2b29027e42cf"/>
    <x:sheet xmlns:r="http://schemas.openxmlformats.org/officeDocument/2006/relationships" name="Changes" sheetId="12" r:id="R262c42f8a0ee4fa0"/>
    <x:sheet xmlns:r="http://schemas.openxmlformats.org/officeDocument/2006/relationships" name="Decisions" sheetId="13" r:id="R763cb4f6646d443f"/>
    <x:sheet xmlns:r="http://schemas.openxmlformats.org/officeDocument/2006/relationships" name="Test Cases" sheetId="14" r:id="R61d55b53b1ee4d33"/>
    <x:sheet xmlns:r="http://schemas.openxmlformats.org/officeDocument/2006/relationships" name="Defects" sheetId="15" r:id="R8c7e493b4b6d42ff"/>
    <x:sheet xmlns:r="http://schemas.openxmlformats.org/officeDocument/2006/relationships" name="Quality Metrics" sheetId="16" r:id="R457c7635c46a4287"/>
    <x:sheet xmlns:r="http://schemas.openxmlformats.org/officeDocument/2006/relationships" name="Deployment Checklist" sheetId="17" r:id="R6bebbe619f1e4325"/>
    <x:sheet xmlns:r="http://schemas.openxmlformats.org/officeDocument/2006/relationships" name="Acceptance" sheetId="18" r:id="R184d21feb6f34b2c"/>
    <x:sheet xmlns:r="http://schemas.openxmlformats.org/officeDocument/2006/relationships" name="Training" sheetId="19" r:id="R787c948f5dca4bf1"/>
    <x:sheet xmlns:r="http://schemas.openxmlformats.org/officeDocument/2006/relationships" name="Benefits &amp; KPI" sheetId="20" r:id="R6bba74a7ed1341f4"/>
    <x:sheet xmlns:r="http://schemas.openxmlformats.org/officeDocument/2006/relationships" name="Sources" sheetId="21" r:id="Rc2f2a9021e6942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"/>
    <x:numFmt numFmtId="202" formatCode="0%"/>
    <x:numFmt numFmtId="203" formatCode="$#,##0.00"/>
    <x:numFmt numFmtId="204" formatCode="0.00"/>
    <x:numFmt numFmtId="205" formatCode="0.0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4E78"/>
      <x:name val="Carlito"/>
    </x:font>
    <x:font>
      <x:b/>
      <x:sz val="11"/>
      <x:name val="Carlito"/>
    </x:font>
    <x:font>
      <x:b/>
      <x:sz val="22"/>
      <x:color rgb="FF145A3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5A32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8F5E9"/>
      </x:patternFill>
    </x:fill>
  </x:fills>
  <x:borders count="4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22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4" xfId="0" applyNumberFormat="1" applyFont="1" applyFill="1" applyBorder="1" applyAlignment="1">
      <x:alignment vertical="top" wrapText="1"/>
    </x:xf>
    <x:xf numFmtId="202" fontId="0" fillId="0" borderId="17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22" xfId="0" applyNumberFormat="1" applyFont="1" applyFill="1" applyBorder="1" applyAlignment="1">
      <x:alignment vertical="top" wrapText="1"/>
    </x:xf>
    <x:xf numFmtId="203" fontId="0" fillId="0" borderId="9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4" xfId="0" applyNumberFormat="1" applyFont="1" applyFill="1" applyBorder="1" applyAlignment="1">
      <x:alignment vertical="top" wrapText="1"/>
    </x:xf>
    <x:xf numFmtId="203" fontId="0" fillId="0" borderId="17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3" fontId="0" fillId="0" borderId="22" xfId="0" applyNumberFormat="1" applyFont="1" applyFill="1" applyBorder="1" applyAlignment="1">
      <x:alignment vertical="top" wrapText="1"/>
    </x:xf>
    <x:xf numFmtId="203" fontId="0" fillId="0" borderId="10" xfId="0" applyNumberFormat="1" applyFont="1" applyFill="1" applyBorder="1" applyAlignment="1">
      <x:alignment vertical="top" wrapText="1"/>
    </x:xf>
    <x:xf numFmtId="203" fontId="0" fillId="0" borderId="12" xfId="0" applyNumberFormat="1" applyFont="1" applyFill="1" applyBorder="1" applyAlignment="1">
      <x:alignment vertical="top" wrapText="1"/>
    </x:xf>
    <x:xf numFmtId="203" fontId="0" fillId="0" borderId="15" xfId="0" applyNumberFormat="1" applyFont="1" applyFill="1" applyBorder="1" applyAlignment="1">
      <x:alignment vertical="top" wrapText="1"/>
    </x:xf>
    <x:xf numFmtId="203" fontId="0" fillId="0" borderId="18" xfId="0" applyNumberFormat="1" applyFont="1" applyFill="1" applyBorder="1" applyAlignment="1">
      <x:alignment vertical="top" wrapText="1"/>
    </x:xf>
    <x:xf numFmtId="203" fontId="0" fillId="0" borderId="20" xfId="0" applyNumberFormat="1" applyFont="1" applyFill="1" applyBorder="1" applyAlignment="1">
      <x:alignment vertical="top" wrapText="1"/>
    </x:xf>
    <x:xf numFmtId="203" fontId="0" fillId="0" borderId="23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0" fontId="0" fillId="0" borderId="10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0" fontId="0" fillId="0" borderId="20" xfId="0" applyNumberFormat="1" applyFont="1" applyFill="1" applyBorder="1" applyAlignment="1">
      <x:alignment vertical="top" wrapText="1"/>
    </x:xf>
    <x:xf numFmtId="200" fontId="0" fillId="0" borderId="23" xfId="0" applyNumberFormat="1" applyFont="1" applyFill="1" applyBorder="1" applyAlignment="1">
      <x:alignment vertical="top" wrapText="1"/>
    </x:xf>
    <x:xf numFmtId="204" fontId="0" fillId="0" borderId="9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4" xfId="0" applyNumberFormat="1" applyFont="1" applyFill="1" applyBorder="1" applyAlignment="1">
      <x:alignment vertical="top" wrapText="1"/>
    </x:xf>
    <x:xf numFmtId="204" fontId="0" fillId="0" borderId="17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204" fontId="0" fillId="0" borderId="22" xfId="0" applyNumberFormat="1" applyFont="1" applyFill="1" applyBorder="1" applyAlignment="1">
      <x:alignment vertical="top" wrapText="1"/>
    </x:xf>
    <x:xf numFmtId="205" fontId="0" fillId="0" borderId="9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205" fontId="0" fillId="0" borderId="17" xfId="0" applyNumberFormat="1" applyFont="1" applyFill="1" applyBorder="1" applyAlignment="1">
      <x:alignment vertical="top" wrapText="1"/>
    </x:xf>
    <x:xf numFmtId="205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4" xfId="0" applyNumberFormat="1" applyFont="1" applyFill="1" applyBorder="1"/>
    <x:xf numFmtId="0" fontId="5" fillId="5" borderId="25" xfId="0" applyNumberFormat="1" applyFont="1" applyFill="1" applyBorder="1"/>
    <x:xf numFmtId="0" fontId="5" fillId="5" borderId="26" xfId="0" applyNumberFormat="1" applyFont="1" applyFill="1" applyBorder="1"/>
    <x:xf numFmtId="0" fontId="5" fillId="5" borderId="27" xfId="0" applyNumberFormat="1" applyFont="1" applyFill="1" applyBorder="1"/>
    <x:xf numFmtId="0" fontId="5" fillId="5" borderId="28" xfId="0" applyNumberFormat="1" applyFont="1" applyFill="1" applyBorder="1"/>
    <x:xf numFmtId="0" fontId="5" fillId="5" borderId="29" xfId="0" applyNumberFormat="1" applyFont="1" applyFill="1" applyBorder="1"/>
    <x:xf numFmtId="0" fontId="5" fillId="5" borderId="30" xfId="0" applyNumberFormat="1" applyFont="1" applyFill="1" applyBorder="1"/>
    <x:xf numFmtId="0" fontId="5" fillId="5" borderId="31" xfId="0" applyNumberFormat="1" applyFont="1" applyFill="1" applyBorder="1"/>
    <x:xf numFmtId="0" fontId="5" fillId="5" borderId="24" xfId="0" applyNumberFormat="1" applyFont="1" applyFill="1" applyBorder="1" applyAlignment="1">
      <x:alignment horizontal="center"/>
    </x:xf>
    <x:xf numFmtId="0" fontId="5" fillId="5" borderId="25" xfId="0" applyNumberFormat="1" applyFont="1" applyFill="1" applyBorder="1" applyAlignment="1">
      <x:alignment horizontal="center"/>
    </x:xf>
    <x:xf numFmtId="0" fontId="5" fillId="5" borderId="26" xfId="0" applyNumberFormat="1" applyFont="1" applyFill="1" applyBorder="1" applyAlignment="1">
      <x:alignment horizontal="center"/>
    </x:xf>
    <x:xf numFmtId="0" fontId="5" fillId="5" borderId="27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/>
    </x:xf>
    <x:xf numFmtId="0" fontId="5" fillId="5" borderId="28" xfId="0" applyNumberFormat="1" applyFont="1" applyFill="1" applyBorder="1" applyAlignment="1">
      <x:alignment horizontal="center"/>
    </x:xf>
    <x:xf numFmtId="0" fontId="5" fillId="5" borderId="29" xfId="0" applyNumberFormat="1" applyFont="1" applyFill="1" applyBorder="1" applyAlignment="1">
      <x:alignment horizontal="center"/>
    </x:xf>
    <x:xf numFmtId="0" fontId="5" fillId="5" borderId="30" xfId="0" applyNumberFormat="1" applyFont="1" applyFill="1" applyBorder="1" applyAlignment="1">
      <x:alignment horizontal="center"/>
    </x:xf>
    <x:xf numFmtId="0" fontId="5" fillId="5" borderId="31" xfId="0" applyNumberFormat="1" applyFont="1" applyFill="1" applyBorder="1" applyAlignment="1">
      <x:alignment horizontal="center"/>
    </x:xf>
    <x:xf numFmtId="0" fontId="5" fillId="5" borderId="24" xfId="0" applyNumberFormat="1" applyFont="1" applyFill="1" applyBorder="1" applyAlignment="1">
      <x:alignment horizontal="center" vertical="center"/>
    </x:xf>
    <x:xf numFmtId="0" fontId="5" fillId="5" borderId="25" xfId="0" applyNumberFormat="1" applyFont="1" applyFill="1" applyBorder="1" applyAlignment="1">
      <x:alignment horizontal="center" vertical="center"/>
    </x:xf>
    <x:xf numFmtId="0" fontId="5" fillId="5" borderId="26" xfId="0" applyNumberFormat="1" applyFont="1" applyFill="1" applyBorder="1" applyAlignment="1">
      <x:alignment horizontal="center" vertical="center"/>
    </x:xf>
    <x:xf numFmtId="0" fontId="5" fillId="5" borderId="27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28" xfId="0" applyNumberFormat="1" applyFont="1" applyFill="1" applyBorder="1" applyAlignment="1">
      <x:alignment horizontal="center" vertical="center"/>
    </x:xf>
    <x:xf numFmtId="0" fontId="5" fillId="5" borderId="29" xfId="0" applyNumberFormat="1" applyFont="1" applyFill="1" applyBorder="1" applyAlignment="1">
      <x:alignment horizontal="center" vertical="center"/>
    </x:xf>
    <x:xf numFmtId="0" fontId="5" fillId="5" borderId="30" xfId="0" applyNumberFormat="1" applyFont="1" applyFill="1" applyBorder="1" applyAlignment="1">
      <x:alignment horizontal="center" vertical="center"/>
    </x:xf>
    <x:xf numFmtId="0" fontId="5" fillId="5" borderId="31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32" xfId="0" applyNumberFormat="1" applyFont="1" applyFill="1" applyBorder="1"/>
    <x:xf numFmtId="0" fontId="5" fillId="5" borderId="33" xfId="0" applyNumberFormat="1" applyFont="1" applyFill="1" applyBorder="1"/>
    <x:xf numFmtId="0" fontId="5" fillId="5" borderId="34" xfId="0" applyNumberFormat="1" applyFont="1" applyFill="1" applyBorder="1"/>
    <x:xf numFmtId="0" fontId="5" fillId="5" borderId="35" xfId="0" applyNumberFormat="1" applyFont="1" applyFill="1" applyBorder="1"/>
    <x:xf numFmtId="0" fontId="5" fillId="5" borderId="36" xfId="0" applyNumberFormat="1" applyFont="1" applyFill="1" applyBorder="1"/>
    <x:xf numFmtId="0" fontId="5" fillId="5" borderId="37" xfId="0" applyNumberFormat="1" applyFont="1" applyFill="1" applyBorder="1"/>
    <x:xf numFmtId="0" fontId="5" fillId="5" borderId="38" xfId="0" applyNumberFormat="1" applyFont="1" applyFill="1" applyBorder="1"/>
    <x:xf numFmtId="0" fontId="5" fillId="5" borderId="39" xfId="0" applyNumberFormat="1" applyFont="1" applyFill="1" applyBorder="1"/>
    <x:xf numFmtId="0" fontId="5" fillId="5" borderId="32" xfId="0" applyNumberFormat="1" applyFont="1" applyFill="1" applyBorder="1" applyAlignment="1">
      <x:alignment horizontal="center"/>
    </x:xf>
    <x:xf numFmtId="0" fontId="5" fillId="5" borderId="33" xfId="0" applyNumberFormat="1" applyFont="1" applyFill="1" applyBorder="1" applyAlignment="1">
      <x:alignment horizontal="center"/>
    </x:xf>
    <x:xf numFmtId="0" fontId="5" fillId="5" borderId="34" xfId="0" applyNumberFormat="1" applyFont="1" applyFill="1" applyBorder="1" applyAlignment="1">
      <x:alignment horizontal="center"/>
    </x:xf>
    <x:xf numFmtId="0" fontId="5" fillId="5" borderId="35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/>
    </x:xf>
    <x:xf numFmtId="0" fontId="5" fillId="5" borderId="36" xfId="0" applyNumberFormat="1" applyFont="1" applyFill="1" applyBorder="1" applyAlignment="1">
      <x:alignment horizontal="center"/>
    </x:xf>
    <x:xf numFmtId="0" fontId="5" fillId="5" borderId="37" xfId="0" applyNumberFormat="1" applyFont="1" applyFill="1" applyBorder="1" applyAlignment="1">
      <x:alignment horizontal="center"/>
    </x:xf>
    <x:xf numFmtId="0" fontId="5" fillId="5" borderId="38" xfId="0" applyNumberFormat="1" applyFont="1" applyFill="1" applyBorder="1" applyAlignment="1">
      <x:alignment horizontal="center"/>
    </x:xf>
    <x:xf numFmtId="0" fontId="5" fillId="5" borderId="39" xfId="0" applyNumberFormat="1" applyFont="1" applyFill="1" applyBorder="1" applyAlignment="1">
      <x:alignment horizontal="center"/>
    </x:xf>
    <x:xf numFmtId="0" fontId="5" fillId="5" borderId="32" xfId="0" applyNumberFormat="1" applyFont="1" applyFill="1" applyBorder="1" applyAlignment="1">
      <x:alignment horizontal="center" vertical="center"/>
    </x:xf>
    <x:xf numFmtId="0" fontId="5" fillId="5" borderId="33" xfId="0" applyNumberFormat="1" applyFont="1" applyFill="1" applyBorder="1" applyAlignment="1">
      <x:alignment horizontal="center" vertical="center"/>
    </x:xf>
    <x:xf numFmtId="0" fontId="5" fillId="5" borderId="34" xfId="0" applyNumberFormat="1" applyFont="1" applyFill="1" applyBorder="1" applyAlignment="1">
      <x:alignment horizontal="center" vertical="center"/>
    </x:xf>
    <x:xf numFmtId="0" fontId="5" fillId="5" borderId="35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36" xfId="0" applyNumberFormat="1" applyFont="1" applyFill="1" applyBorder="1" applyAlignment="1">
      <x:alignment horizontal="center" vertical="center"/>
    </x:xf>
    <x:xf numFmtId="0" fontId="5" fillId="5" borderId="37" xfId="0" applyNumberFormat="1" applyFont="1" applyFill="1" applyBorder="1" applyAlignment="1">
      <x:alignment horizontal="center" vertical="center"/>
    </x:xf>
    <x:xf numFmtId="0" fontId="5" fillId="5" borderId="38" xfId="0" applyNumberFormat="1" applyFont="1" applyFill="1" applyBorder="1" applyAlignment="1">
      <x:alignment horizontal="center" vertical="center"/>
    </x:xf>
    <x:xf numFmtId="0" fontId="5" fillId="5" borderId="39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</x:cellXfs>
  <x:cellStyles count="1">
    <x:cellStyle name="Normal" xfId="0"/>
  </x:cellStyles>
  <x:dxfs count="20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e7c0e324bf4b18" /><Relationship Type="http://schemas.openxmlformats.org/officeDocument/2006/relationships/theme" Target="/xl/theme/theme1.xml" Id="Rd5e4575960364923" /><Relationship Type="http://schemas.openxmlformats.org/officeDocument/2006/relationships/sharedStrings" Target="/xl/sharedStrings.xml" Id="R337ff20e869b4ba2" /><Relationship Type="http://schemas.openxmlformats.org/officeDocument/2006/relationships/worksheet" Target="/xl/worksheets/sheet1.xml" Id="Rdef09dbf7e15442e" /><Relationship Type="http://schemas.openxmlformats.org/officeDocument/2006/relationships/worksheet" Target="/xl/worksheets/sheet2.xml" Id="Re1930243b8744cc9" /><Relationship Type="http://schemas.openxmlformats.org/officeDocument/2006/relationships/worksheet" Target="/xl/worksheets/sheet3.xml" Id="R32769756eeb04bef" /><Relationship Type="http://schemas.openxmlformats.org/officeDocument/2006/relationships/worksheet" Target="/xl/worksheets/sheet4.xml" Id="R6bc74329c4f94031" /><Relationship Type="http://schemas.openxmlformats.org/officeDocument/2006/relationships/worksheet" Target="/xl/worksheets/sheet5.xml" Id="R947e64934d174d93" /><Relationship Type="http://schemas.openxmlformats.org/officeDocument/2006/relationships/worksheet" Target="/xl/worksheets/sheet6.xml" Id="Rd31891da69bc426f" /><Relationship Type="http://schemas.openxmlformats.org/officeDocument/2006/relationships/worksheet" Target="/xl/worksheets/sheet7.xml" Id="R99fd3ed0893e4469" /><Relationship Type="http://schemas.openxmlformats.org/officeDocument/2006/relationships/worksheet" Target="/xl/worksheets/sheet8.xml" Id="Ra3ffb31364aa438d" /><Relationship Type="http://schemas.openxmlformats.org/officeDocument/2006/relationships/worksheet" Target="/xl/worksheets/sheet9.xml" Id="Rcc616e843a7c4f5c" /><Relationship Type="http://schemas.openxmlformats.org/officeDocument/2006/relationships/worksheet" Target="/xl/worksheets/sheet10.xml" Id="R2a90f54db87745ac" /><Relationship Type="http://schemas.openxmlformats.org/officeDocument/2006/relationships/worksheet" Target="/xl/worksheets/sheet11.xml" Id="R111d2b29027e42cf" /><Relationship Type="http://schemas.openxmlformats.org/officeDocument/2006/relationships/worksheet" Target="/xl/worksheets/sheet12.xml" Id="R262c42f8a0ee4fa0" /><Relationship Type="http://schemas.openxmlformats.org/officeDocument/2006/relationships/worksheet" Target="/xl/worksheets/sheet13.xml" Id="R763cb4f6646d443f" /><Relationship Type="http://schemas.openxmlformats.org/officeDocument/2006/relationships/worksheet" Target="/xl/worksheets/sheet14.xml" Id="R61d55b53b1ee4d33" /><Relationship Type="http://schemas.openxmlformats.org/officeDocument/2006/relationships/worksheet" Target="/xl/worksheets/sheet15.xml" Id="R8c7e493b4b6d42ff" /><Relationship Type="http://schemas.openxmlformats.org/officeDocument/2006/relationships/worksheet" Target="/xl/worksheets/sheet16.xml" Id="R457c7635c46a4287" /><Relationship Type="http://schemas.openxmlformats.org/officeDocument/2006/relationships/worksheet" Target="/xl/worksheets/sheet17.xml" Id="R6bebbe619f1e4325" /><Relationship Type="http://schemas.openxmlformats.org/officeDocument/2006/relationships/worksheet" Target="/xl/worksheets/sheet18.xml" Id="R184d21feb6f34b2c" /><Relationship Type="http://schemas.openxmlformats.org/officeDocument/2006/relationships/worksheet" Target="/xl/worksheets/sheet19.xml" Id="R787c948f5dca4bf1" /><Relationship Type="http://schemas.openxmlformats.org/officeDocument/2006/relationships/worksheet" Target="/xl/worksheets/sheet20.xml" Id="R6bba74a7ed1341f4" /><Relationship Type="http://schemas.openxmlformats.org/officeDocument/2006/relationships/worksheet" Target="/xl/worksheets/sheet21.xml" Id="Rc2f2a9021e6942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ecbcf4e5044a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Requirements by Module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'Dashboard'!$A$10:$A$13</c:f>
              <c:strCache>
                <c:ptCount val="0"/>
              </c:strCache>
            </c:strRef>
          </c:cat>
          <c:val>
            <c:numRef>
              <c:f>'Dashboard'!$B$10:$B$13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8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ecbcf4e5044a8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ocumentRegisterTable" displayName="DocumentRegisterTable" ref="A4:H17" headerRowCount="1">
  <x:tableColumns count="8">
    <x:tableColumn id="1" name="Document ID"/>
    <x:tableColumn id="2" name="Title"/>
    <x:tableColumn id="3" name="Version"/>
    <x:tableColumn id="4" name="Status"/>
    <x:tableColumn id="5" name="Owner"/>
    <x:tableColumn id="6" name="Approver"/>
    <x:tableColumn id="7" name="Effective Date"/>
    <x:tableColumn id="8" name="File"/>
  </x:tableColumns>
  <x:tableStyleInfo name="TableStyleMedium2" showRowStripes="1"/>
</x:table>
</file>

<file path=xl/tables/table2.xml><?xml version="1.0" encoding="utf-8"?>
<x:table xmlns:x="http://schemas.openxmlformats.org/spreadsheetml/2006/main" id="2" name="RequirementsTable" displayName="RequirementsTable" ref="A4:K71" headerRowCount="1">
  <x:tableColumns count="11">
    <x:tableColumn id="1" name="Requirement ID"/>
    <x:tableColumn id="2" name="Type"/>
    <x:tableColumn id="3" name="Module"/>
    <x:tableColumn id="4" name="Requirement"/>
    <x:tableColumn id="5" name="Priority"/>
    <x:tableColumn id="6" name="Owner"/>
    <x:tableColumn id="7" name="PLC/SDLC Phase"/>
    <x:tableColumn id="8" name="Status"/>
    <x:tableColumn id="9" name="Source"/>
    <x:tableColumn id="10" name="Acceptance Class"/>
    <x:tableColumn id="11" name="Category/Notes"/>
  </x:tableColumns>
  <x:tableStyleInfo name="TableStyleMedium2" showRowStripes="1"/>
</x:table>
</file>

<file path=xl/tables/table3.xml><?xml version="1.0" encoding="utf-8"?>
<x:table xmlns:x="http://schemas.openxmlformats.org/spreadsheetml/2006/main" id="3" name="RTMTable" displayName="RTMTable" ref="A4:H71" headerRowCount="1">
  <x:tableColumns count="8">
    <x:tableColumn id="1" name="Requirement ID"/>
    <x:tableColumn id="2" name="Module"/>
    <x:tableColumn id="3" name="Design Document"/>
    <x:tableColumn id="4" name="Implementation Area"/>
    <x:tableColumn id="5" name="Test Case(s)"/>
    <x:tableColumn id="6" name="Verification Result"/>
    <x:tableColumn id="7" name="Acceptance Evidence"/>
    <x:tableColumn id="8" name="Trace Status"/>
  </x:tableColumns>
  <x:tableStyleInfo name="TableStyleMedium2" showRowStripes="1"/>
</x:table>
</file>

<file path=xl/tables/table4.xml><?xml version="1.0" encoding="utf-8"?>
<x:table xmlns:x="http://schemas.openxmlformats.org/spreadsheetml/2006/main" id="4" name="WBSScheduleTable" displayName="WBSScheduleTable" ref="A4:L15" headerRowCount="1">
  <x:tableColumns count="12">
    <x:tableColumn id="1" name="WBS"/>
    <x:tableColumn id="2" name="Work Package"/>
    <x:tableColumn id="3" name="Phase"/>
    <x:tableColumn id="4" name="Owner"/>
    <x:tableColumn id="5" name="Start"/>
    <x:tableColumn id="6" name="Finish"/>
    <x:tableColumn id="7" name="% Complete"/>
    <x:tableColumn id="8" name="Status"/>
    <x:tableColumn id="9" name="Gate"/>
    <x:tableColumn id="10" name="Deliverable / Exit Evidence"/>
    <x:tableColumn id="11" name="Duration (days)"/>
    <x:tableColumn id="12" name="Schedule Flag"/>
  </x:tableColumns>
  <x:tableStyleInfo name="TableStyleMedium2" showRowStripes="1"/>
</x:table>
</file>

<file path=xl/tables/table5.xml><?xml version="1.0" encoding="utf-8"?>
<x:table xmlns:x="http://schemas.openxmlformats.org/spreadsheetml/2006/main" id="5" name="BudgetBOMTable" displayName="BudgetBOMTable" ref="A4:J15" headerRowCount="1">
  <x:tableColumns count="10">
    <x:tableColumn id="1" name="Item ID"/>
    <x:tableColumn id="2" name="Item"/>
    <x:tableColumn id="3" name="Qty"/>
    <x:tableColumn id="4" name="Original Estimate"/>
    <x:tableColumn id="5" name="Revised Plan"/>
    <x:tableColumn id="6" name="Baseline Type"/>
    <x:tableColumn id="7" name="Owner"/>
    <x:tableColumn id="8" name="Procurement Status"/>
    <x:tableColumn id="9" name="Control Note"/>
    <x:tableColumn id="10" name="Variance"/>
  </x:tableColumns>
  <x:tableStyleInfo name="TableStyleMedium2" showRowStripes="1"/>
</x:table>
</file>

<file path=xl/tables/table6.xml><?xml version="1.0" encoding="utf-8"?>
<x:table xmlns:x="http://schemas.openxmlformats.org/spreadsheetml/2006/main" id="6" name="StakeholderTable" displayName="StakeholderTable" ref="A4:H11" headerRowCount="1">
  <x:tableColumns count="8">
    <x:tableColumn id="1" name="ID"/>
    <x:tableColumn id="2" name="Stakeholder"/>
    <x:tableColumn id="3" name="Interest"/>
    <x:tableColumn id="4" name="Influence"/>
    <x:tableColumn id="5" name="Need / Expectation"/>
    <x:tableColumn id="6" name="Engagement"/>
    <x:tableColumn id="7" name="Owner"/>
    <x:tableColumn id="8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RACITable" displayName="RACITable" ref="A4:K15" headerRowCount="1">
  <x:tableColumns count="11">
    <x:tableColumn id="1" name="Activity"/>
    <x:tableColumn id="2" name="Sponsor"/>
    <x:tableColumn id="3" name="PM"/>
    <x:tableColumn id="4" name="PO/Farmer"/>
    <x:tableColumn id="5" name="Tech"/>
    <x:tableColumn id="6" name="IoT"/>
    <x:tableColumn id="7" name="Backend"/>
    <x:tableColumn id="8" name="Mobile"/>
    <x:tableColumn id="9" name="AI"/>
    <x:tableColumn id="10" name="QA"/>
    <x:tableColumn id="11" name="Ops"/>
  </x:tableColumns>
  <x:tableStyleInfo name="TableStyleMedium2" showRowStripes="1"/>
</x:table>
</file>

<file path=xl/tables/table8.xml><?xml version="1.0" encoding="utf-8"?>
<x:table xmlns:x="http://schemas.openxmlformats.org/spreadsheetml/2006/main" id="8" name="RiskTable" displayName="RiskTable" ref="A4:L14" headerRowCount="1">
  <x:tableColumns count="12">
    <x:tableColumn id="1" name="Risk ID"/>
    <x:tableColumn id="2" name="Risk"/>
    <x:tableColumn id="3" name="Category"/>
    <x:tableColumn id="4" name="Probability"/>
    <x:tableColumn id="5" name="Impact"/>
    <x:tableColumn id="6" name="Mitigation / Response"/>
    <x:tableColumn id="7" name="Owner"/>
    <x:tableColumn id="8" name="Status"/>
    <x:tableColumn id="9" name="Review Date"/>
    <x:tableColumn id="10" name="Score"/>
    <x:tableColumn id="11" name="Rating"/>
    <x:tableColumn id="12" name="Residual / Notes"/>
  </x:tableColumns>
  <x:tableStyleInfo name="TableStyleMedium2" showRowStripes="1"/>
</x:table>
</file>

<file path=xl/tables/table9.xml><?xml version="1.0" encoding="utf-8"?>
<x:table xmlns:x="http://schemas.openxmlformats.org/spreadsheetml/2006/main" id="9" name="IssueTable" displayName="IssueTable" ref="A4:I9" headerRowCount="1">
  <x:tableColumns count="9">
    <x:tableColumn id="1" name="Issue ID"/>
    <x:tableColumn id="2" name="Issue"/>
    <x:tableColumn id="3" name="Severity"/>
    <x:tableColumn id="4" name="Status"/>
    <x:tableColumn id="5" name="Owner"/>
    <x:tableColumn id="6" name="Due Date"/>
    <x:tableColumn id="7" name="Impact"/>
    <x:tableColumn id="8" name="Resolution / Decision"/>
    <x:tableColumn id="9" name="Closed Date"/>
  </x:tableColumns>
  <x:tableStyleInfo name="TableStyleMedium2" showRowStripes="1"/>
</x:table>
</file>

<file path=xl/tables/table10.xml><?xml version="1.0" encoding="utf-8"?>
<x:table xmlns:x="http://schemas.openxmlformats.org/spreadsheetml/2006/main" id="10" name="ChangeTable" displayName="ChangeTable" ref="A4:M7" headerRowCount="1">
  <x:tableColumns count="13">
    <x:tableColumn id="1" name="CR ID"/>
    <x:tableColumn id="2" name="Title"/>
    <x:tableColumn id="3" name="Type"/>
    <x:tableColumn id="4" name="Reason"/>
    <x:tableColumn id="5" name="Requester"/>
    <x:tableColumn id="6" name="Priority"/>
    <x:tableColumn id="7" name="Impact Summary"/>
    <x:tableColumn id="8" name="Decision"/>
    <x:tableColumn id="9" name="Approver"/>
    <x:tableColumn id="10" name="Decision Date"/>
    <x:tableColumn id="11" name="Implementation / Evidence"/>
    <x:tableColumn id="12" name="Effective Version"/>
    <x:tableColumn id="13" name="Closure Date"/>
  </x:tableColumns>
  <x:tableStyleInfo name="TableStyleMedium2" showRowStripes="1"/>
</x:table>
</file>

<file path=xl/tables/table11.xml><?xml version="1.0" encoding="utf-8"?>
<x:table xmlns:x="http://schemas.openxmlformats.org/spreadsheetml/2006/main" id="11" name="DecisionTable" displayName="DecisionTable" ref="A4:I11" headerRowCount="1">
  <x:tableColumns count="9">
    <x:tableColumn id="1" name="Decision ID"/>
    <x:tableColumn id="2" name="Decision"/>
    <x:tableColumn id="3" name="Status"/>
    <x:tableColumn id="4" name="Owner"/>
    <x:tableColumn id="5" name="Date"/>
    <x:tableColumn id="6" name="Rationale"/>
    <x:tableColumn id="7" name="Consequences"/>
    <x:tableColumn id="8" name="Document"/>
    <x:tableColumn id="9" name="Superseded By"/>
  </x:tableColumns>
  <x:tableStyleInfo name="TableStyleMedium2" showRowStripes="1"/>
</x:table>
</file>

<file path=xl/tables/table12.xml><?xml version="1.0" encoding="utf-8"?>
<x:table xmlns:x="http://schemas.openxmlformats.org/spreadsheetml/2006/main" id="12" name="TestCaseTable" displayName="TestCaseTable" ref="A4:J26" headerRowCount="1">
  <x:tableColumns count="10">
    <x:tableColumn id="1" name="Test ID"/>
    <x:tableColumn id="2" name="Test"/>
    <x:tableColumn id="3" name="Requirement Trace"/>
    <x:tableColumn id="4" name="Level/Type"/>
    <x:tableColumn id="5" name="Priority"/>
    <x:tableColumn id="6" name="Pass Condition"/>
    <x:tableColumn id="7" name="Result"/>
    <x:tableColumn id="8" name="Owner"/>
    <x:tableColumn id="9" name="Execution Date"/>
    <x:tableColumn id="10" name="Evidence / Defect"/>
  </x:tableColumns>
  <x:tableStyleInfo name="TableStyleMedium2" showRowStripes="1"/>
</x:table>
</file>

<file path=xl/tables/table13.xml><?xml version="1.0" encoding="utf-8"?>
<x:table xmlns:x="http://schemas.openxmlformats.org/spreadsheetml/2006/main" id="13" name="DefectTable" displayName="DefectTable" ref="A4:M7" headerRowCount="1">
  <x:tableColumns count="13">
    <x:tableColumn id="1" name="Defect ID"/>
    <x:tableColumn id="2" name="Title"/>
    <x:tableColumn id="3" name="Module"/>
    <x:tableColumn id="4" name="Severity"/>
    <x:tableColumn id="5" name="Status"/>
    <x:tableColumn id="6" name="Found In Version"/>
    <x:tableColumn id="7" name="Test ID"/>
    <x:tableColumn id="8" name="Owner"/>
    <x:tableColumn id="9" name="Opened Date"/>
    <x:tableColumn id="10" name="Root Cause"/>
    <x:tableColumn id="11" name="Resolution"/>
    <x:tableColumn id="12" name="Verified By"/>
    <x:tableColumn id="13" name="Closed Date"/>
  </x:tableColumns>
  <x:tableStyleInfo name="TableStyleMedium2" showRowStripes="1"/>
</x:table>
</file>

<file path=xl/tables/table14.xml><?xml version="1.0" encoding="utf-8"?>
<x:table xmlns:x="http://schemas.openxmlformats.org/spreadsheetml/2006/main" id="14" name="QualityMetricsTable" displayName="QualityMetricsTable" ref="A4:F15" headerRowCount="1">
  <x:tableColumns count="6">
    <x:tableColumn id="1" name="Metric"/>
    <x:tableColumn id="2" name="Definition"/>
    <x:tableColumn id="3" name="Numerator / Observed"/>
    <x:tableColumn id="4" name="Denominator"/>
    <x:tableColumn id="5" name="Target"/>
    <x:tableColumn id="6" name="Use"/>
  </x:tableColumns>
  <x:tableStyleInfo name="TableStyleMedium2" showRowStripes="1"/>
</x:table>
</file>

<file path=xl/tables/table15.xml><?xml version="1.0" encoding="utf-8"?>
<x:table xmlns:x="http://schemas.openxmlformats.org/spreadsheetml/2006/main" id="15" name="DeploymentChecklistTable" displayName="DeploymentChecklistTable" ref="A4:G17" headerRowCount="1">
  <x:tableColumns count="7">
    <x:tableColumn id="1" name="Check ID"/>
    <x:tableColumn id="2" name="Control"/>
    <x:tableColumn id="3" name="Owner"/>
    <x:tableColumn id="4" name="Priority"/>
    <x:tableColumn id="5" name="Status"/>
    <x:tableColumn id="6" name="Evidence"/>
    <x:tableColumn id="7" name="Completed Date"/>
  </x:tableColumns>
  <x:tableStyleInfo name="TableStyleMedium2" showRowStripes="1"/>
</x:table>
</file>

<file path=xl/tables/table16.xml><?xml version="1.0" encoding="utf-8"?>
<x:table xmlns:x="http://schemas.openxmlformats.org/spreadsheetml/2006/main" id="16" name="AcceptanceTable" displayName="AcceptanceTable" ref="A4:I11" headerRowCount="1">
  <x:tableColumns count="9">
    <x:tableColumn id="1" name="Gate"/>
    <x:tableColumn id="2" name="Stage"/>
    <x:tableColumn id="3" name="Required Evidence"/>
    <x:tableColumn id="4" name="Decision Authority"/>
    <x:tableColumn id="5" name="Decision"/>
    <x:tableColumn id="6" name="Decision Date"/>
    <x:tableColumn id="7" name="Conditions / Actions"/>
    <x:tableColumn id="8" name="Evidence Link"/>
    <x:tableColumn id="9" name="Sign-off"/>
  </x:tableColumns>
  <x:tableStyleInfo name="TableStyleMedium2" showRowStripes="1"/>
</x:table>
</file>

<file path=xl/tables/table17.xml><?xml version="1.0" encoding="utf-8"?>
<x:table xmlns:x="http://schemas.openxmlformats.org/spreadsheetml/2006/main" id="17" name="TrainingTable" displayName="TrainingTable" ref="A4:I10" headerRowCount="1">
  <x:tableColumns count="9">
    <x:tableColumn id="1" name="Training ID"/>
    <x:tableColumn id="2" name="Audience"/>
    <x:tableColumn id="3" name="Module"/>
    <x:tableColumn id="4" name="Trainer"/>
    <x:tableColumn id="5" name="Planned Date"/>
    <x:tableColumn id="6" name="Status"/>
    <x:tableColumn id="7" name="Competency Result"/>
    <x:tableColumn id="8" name="Evidence"/>
    <x:tableColumn id="9" name="Notes"/>
  </x:tableColumns>
  <x:tableStyleInfo name="TableStyleMedium2" showRowStripes="1"/>
</x:table>
</file>

<file path=xl/tables/table18.xml><?xml version="1.0" encoding="utf-8"?>
<x:table xmlns:x="http://schemas.openxmlformats.org/spreadsheetml/2006/main" id="18" name="BenefitsKPITable" displayName="BenefitsKPITable" ref="A4:K12" headerRowCount="1">
  <x:tableColumns count="11">
    <x:tableColumn id="1" name="KPI ID"/>
    <x:tableColumn id="2" name="KPI"/>
    <x:tableColumn id="3" name="Unit"/>
    <x:tableColumn id="4" name="Baseline/Target Label"/>
    <x:tableColumn id="5" name="Baseline/Target Value"/>
    <x:tableColumn id="6" name="Pilot Label"/>
    <x:tableColumn id="7" name="Pilot Value"/>
    <x:tableColumn id="8" name="Observed Change / Result"/>
    <x:tableColumn id="9" name="Evidence Source"/>
    <x:tableColumn id="10" name="Owner"/>
    <x:tableColumn id="11" name="Interpretation / Limitation"/>
  </x:tableColumns>
  <x:tableStyleInfo name="TableStyleMedium2" showRowStripes="1"/>
</x:table>
</file>

<file path=xl/tables/table19.xml><?xml version="1.0" encoding="utf-8"?>
<x:table xmlns:x="http://schemas.openxmlformats.org/spreadsheetml/2006/main" id="19" name="SourcesTable" displayName="SourcesTable" ref="A4:E10" headerRowCount="1">
  <x:tableColumns count="5">
    <x:tableColumn id="1" name="Source ID"/>
    <x:tableColumn id="2" name="Source"/>
    <x:tableColumn id="3" name="Type"/>
    <x:tableColumn id="4" name="Use"/>
    <x:tableColumn id="5" name="Currency / Contro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b55e2657b964c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a8d1424412a44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e372b4b54d24d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83c4981870849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30d06c16d2948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98498f5a88c47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efa5f34834a47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f148b1b44da432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227b54c3e5ac44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bf9eee2cbc49b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7e1c7253130478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c57ad4a6e616494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8ad70ae62aa743c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77072156c4bd441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9847746011e2440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566832fd2a72440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03c662e28bf841e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34d8e2feb55e48e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29e419dea78c474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48126b56146f4e3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28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28" hidden="0" customWidth="1"/>
    <x:col min="12" max="12" width="12" hidden="0" customWidth="1"/>
  </x:cols>
  <x:sheetData>
    <x:row r="1" ht="30" customHeight="1">
      <x:c r="A1" s="33" t="str">
        <x:v>LNTB PLC &amp; SDLC Management Dashboard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</x:row>
    <x:row r="2" ht="38" customHeight="1">
      <x:c r="A2" s="40" t="str">
        <x:v>Live summary from the controlled registers. Update underlying sheets, not dashboard totals.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</x:row>
    <x:row r="3">
      <x:c r="A3" s="171" t="str">
        <x:v>Requirements</x:v>
      </x:c>
      <x:c r="D3" s="171" t="str">
        <x:v>Requirements Complete</x:v>
      </x:c>
      <x:c r="G3" s="171" t="str">
        <x:v>Open High Risks</x:v>
      </x:c>
      <x:c r="J3" s="171" t="str">
        <x:v>Tests Passed</x:v>
      </x:c>
    </x:row>
    <x:row r="4">
      <x:c r="A4" s="133" t="n">
        <x:f>COUNTA(Requirements!A5:A71)</x:f>
        <x:v>67</x:v>
      </x:c>
      <x:c r="B4" s="134"/>
      <x:c r="C4" s="135"/>
      <x:c r="D4" s="133" t="n">
        <x:f>COUNTIF(Requirements!H5:H71,"Complete")</x:f>
        <x:v>0</x:v>
      </x:c>
      <x:c r="E4" s="134"/>
      <x:c r="F4" s="135"/>
      <x:c r="G4" s="133" t="n">
        <x:f>COUNTIFS(Risks!K5:K200,"High",Risks!H5:H200,"&lt;&gt;Closed")</x:f>
        <x:v>6</x:v>
      </x:c>
      <x:c r="H4" s="134"/>
      <x:c r="I4" s="135"/>
      <x:c r="J4" s="133" t="n">
        <x:f>COUNTIF('Test Cases'!G5:G26,"Pass")</x:f>
        <x:v>0</x:v>
      </x:c>
      <x:c r="K4" s="134"/>
      <x:c r="L4" s="135"/>
    </x:row>
    <x:row r="5">
      <x:c r="A5" s="136"/>
      <x:c r="B5" s="137"/>
      <x:c r="C5" s="138"/>
      <x:c r="D5" s="136"/>
      <x:c r="E5" s="137"/>
      <x:c r="F5" s="138"/>
      <x:c r="G5" s="136"/>
      <x:c r="H5" s="137"/>
      <x:c r="I5" s="138"/>
      <x:c r="J5" s="136"/>
      <x:c r="K5" s="137"/>
      <x:c r="L5" s="138"/>
    </x:row>
    <x:row r="6">
      <x:c r="A6" s="139"/>
      <x:c r="B6" s="140"/>
      <x:c r="C6" s="141"/>
      <x:c r="D6" s="139"/>
      <x:c r="E6" s="140"/>
      <x:c r="F6" s="141"/>
      <x:c r="G6" s="139"/>
      <x:c r="H6" s="140"/>
      <x:c r="I6" s="141"/>
      <x:c r="J6" s="139"/>
      <x:c r="K6" s="140"/>
      <x:c r="L6" s="141"/>
    </x:row>
    <x:row r="9">
      <x:c r="A9" s="13" t="str">
        <x:v>Module</x:v>
      </x:c>
      <x:c r="B9" s="14" t="str">
        <x:v>Total</x:v>
      </x:c>
      <x:c r="C9" s="15" t="str">
        <x:v>Complete</x:v>
      </x:c>
      <x:c r="E9" s="13" t="str">
        <x:v>Status</x:v>
      </x:c>
      <x:c r="F9" s="14" t="str">
        <x:v>Requirements</x:v>
      </x:c>
      <x:c r="G9" s="15" t="str">
        <x:v>Tests</x:v>
      </x:c>
    </x:row>
    <x:row r="10">
      <x:c r="A10" t="str">
        <x:v>Firmware</x:v>
      </x:c>
      <x:c r="B10" t="n">
        <x:f>COUNTIF(Requirements!C5:C71,A10)</x:f>
        <x:v>17</x:v>
      </x:c>
      <x:c r="C10" t="n">
        <x:f>COUNTIFS(Requirements!C5:C71,A10,Requirements!H5:H71,"Complete")</x:f>
        <x:v>0</x:v>
      </x:c>
      <x:c r="E10" t="str">
        <x:v>Not Started</x:v>
      </x:c>
      <x:c r="F10" t="n">
        <x:f>COUNTIF(Requirements!H5:H71,E10)</x:f>
        <x:v>67</x:v>
      </x:c>
      <x:c r="G10" t="n">
        <x:f>COUNTIF('Test Cases'!G5:G26,"Not Run")</x:f>
        <x:v>22</x:v>
      </x:c>
    </x:row>
    <x:row r="11">
      <x:c r="A11" t="str">
        <x:v>Backend</x:v>
      </x:c>
      <x:c r="B11" t="n">
        <x:f>COUNTIF(Requirements!C5:C71,A11)</x:f>
        <x:v>18</x:v>
      </x:c>
      <x:c r="C11" t="n">
        <x:f>COUNTIFS(Requirements!C5:C71,A11,Requirements!H5:H71,"Complete")</x:f>
        <x:v>0</x:v>
      </x:c>
      <x:c r="E11" t="str">
        <x:v>In Progress</x:v>
      </x:c>
      <x:c r="F11" t="n">
        <x:f>COUNTIF(Requirements!H5:H71,E11)</x:f>
        <x:v>0</x:v>
      </x:c>
      <x:c r="G11" t="n">
        <x:f>COUNTIF('Test Cases'!G5:G26,"Fail")</x:f>
        <x:v>0</x:v>
      </x:c>
    </x:row>
    <x:row r="12">
      <x:c r="A12" t="str">
        <x:v>Mobile</x:v>
      </x:c>
      <x:c r="B12" t="n">
        <x:f>COUNTIF(Requirements!C5:C71,A12)</x:f>
        <x:v>15</x:v>
      </x:c>
      <x:c r="C12" t="n">
        <x:f>COUNTIFS(Requirements!C5:C71,A12,Requirements!H5:H71,"Complete")</x:f>
        <x:v>0</x:v>
      </x:c>
      <x:c r="E12" t="str">
        <x:v>Complete</x:v>
      </x:c>
      <x:c r="F12" t="n">
        <x:f>COUNTIF(Requirements!H5:H71,E12)</x:f>
        <x:v>0</x:v>
      </x:c>
      <x:c r="G12" t="n">
        <x:f>COUNTIF('Test Cases'!G5:G26,"Pass")</x:f>
        <x:v>0</x:v>
      </x:c>
    </x:row>
    <x:row r="13">
      <x:c r="A13" t="str">
        <x:v>Cross-cutting</x:v>
      </x:c>
      <x:c r="B13" t="n">
        <x:f>COUNTIF(Requirements!C5:C71,A13)</x:f>
        <x:v>17</x:v>
      </x:c>
      <x:c r="C13" t="n">
        <x:f>COUNTIFS(Requirements!C5:C71,A13,Requirements!H5:H71,"Complete")</x:f>
        <x:v>0</x:v>
      </x:c>
      <x:c r="E13" t="str">
        <x:v>Blocked</x:v>
      </x:c>
      <x:c r="F13" t="n">
        <x:f>COUNTIF(Requirements!H5:H71,E13)</x:f>
        <x:v>0</x:v>
      </x:c>
      <x:c r="G13" t="n">
        <x:f>COUNTIF('Test Cases'!G5:G26,"Blocked")</x:f>
        <x:v>0</x:v>
      </x:c>
    </x:row>
    <x:row r="17">
      <x:c r="A17" s="13" t="str">
        <x:v>Gate</x:v>
      </x:c>
      <x:c r="B17" s="14" t="str">
        <x:v>Stage</x:v>
      </x:c>
      <x:c r="C17" s="14" t="str">
        <x:v>Decision</x:v>
      </x:c>
      <x:c r="D17" s="15" t="str">
        <x:v>Authority</x:v>
      </x:c>
      <x:c r="F17" s="13" t="str">
        <x:v>Priority Item</x:v>
      </x:c>
      <x:c r="G17" s="14" t="str">
        <x:v>Type</x:v>
      </x:c>
      <x:c r="H17" s="14" t="str">
        <x:v>Owner</x:v>
      </x:c>
      <x:c r="I17" s="14" t="str">
        <x:v>Status</x:v>
      </x:c>
      <x:c r="J17" s="14" t="str">
        <x:v>Due/Review</x:v>
      </x:c>
      <x:c r="K17" s="14" t="str">
        <x:v>Impact</x:v>
      </x:c>
      <x:c r="L17" s="15" t="str">
        <x:v>ID</x:v>
      </x:c>
    </x:row>
    <x:row r="18" ht="30" customHeight="1">
      <x:c r="A18" s="44" t="str">
        <x:v>G0</x:v>
      </x:c>
      <x:c r="B18" s="44" t="str">
        <x:v>Initiation</x:v>
      </x:c>
      <x:c r="C18" s="44" t="str">
        <x:v>Pending</x:v>
      </x:c>
      <x:c r="D18" s="44" t="str">
        <x:v>Sponsor</x:v>
      </x:c>
      <x:c r="F18" s="44" t="str">
        <x:v>Confirm meter models</x:v>
      </x:c>
      <x:c r="G18" s="44" t="str">
        <x:v>Issue</x:v>
      </x:c>
      <x:c r="H18" s="44" t="str">
        <x:v>IoT Lead</x:v>
      </x:c>
      <x:c r="I18" s="44" t="str">
        <x:v>Open</x:v>
      </x:c>
      <x:c r="J18" s="44" t="str">
        <x:v>2026-07-15</x:v>
      </x:c>
      <x:c r="K18" s="44" t="str">
        <x:v>Blocks final hardware design</x:v>
      </x:c>
      <x:c r="L18" s="44" t="str">
        <x:v>I-001</x:v>
      </x:c>
    </x:row>
    <x:row r="19" ht="30" customHeight="1">
      <x:c r="A19" s="44" t="str">
        <x:v>G1</x:v>
      </x:c>
      <x:c r="B19" s="44" t="str">
        <x:v>Requirements</x:v>
      </x:c>
      <x:c r="C19" s="44" t="str">
        <x:v>Pending</x:v>
      </x:c>
      <x:c r="D19" s="44" t="str">
        <x:v>Product Owner / Sponsor</x:v>
      </x:c>
      <x:c r="F19" s="44" t="str">
        <x:v>Revised budget approval</x:v>
      </x:c>
      <x:c r="G19" s="44" t="str">
        <x:v>Issue</x:v>
      </x:c>
      <x:c r="H19" s="44" t="str">
        <x:v>Sponsor</x:v>
      </x:c>
      <x:c r="I19" s="44" t="str">
        <x:v>Open</x:v>
      </x:c>
      <x:c r="J19" s="44" t="str">
        <x:v>2026-07-18</x:v>
      </x:c>
      <x:c r="K19" s="44" t="str">
        <x:v>Blocks procurement baseline</x:v>
      </x:c>
      <x:c r="L19" s="44" t="str">
        <x:v>I-003</x:v>
      </x:c>
    </x:row>
    <x:row r="20" ht="30" customHeight="1">
      <x:c r="A20" s="44" t="str">
        <x:v>G2</x:v>
      </x:c>
      <x:c r="B20" s="44" t="str">
        <x:v>Design</x:v>
      </x:c>
      <x:c r="C20" s="44" t="str">
        <x:v>Pending</x:v>
      </x:c>
      <x:c r="D20" s="44" t="str">
        <x:v>Technical Lead</x:v>
      </x:c>
      <x:c r="F20" s="44" t="str">
        <x:v>Unsafe pump/water ingress</x:v>
      </x:c>
      <x:c r="G20" s="44" t="str">
        <x:v>Risk</x:v>
      </x:c>
      <x:c r="H20" s="44" t="str">
        <x:v>IoT Lead</x:v>
      </x:c>
      <x:c r="I20" s="44" t="str">
        <x:v>Open</x:v>
      </x:c>
      <x:c r="J20" s="44" t="str">
        <x:v>2026-07-18</x:v>
      </x:c>
      <x:c r="K20" s="44" t="str">
        <x:v>Safety/field pilot</x:v>
      </x:c>
      <x:c r="L20" s="44" t="str">
        <x:v>R-002</x:v>
      </x:c>
    </x:row>
    <x:row r="21" ht="30" customHeight="1">
      <x:c r="A21" s="44" t="str">
        <x:v>G3</x:v>
      </x:c>
      <x:c r="B21" s="44" t="str">
        <x:v>Build Complete</x:v>
      </x:c>
      <x:c r="C21" s="44" t="str">
        <x:v>Pending</x:v>
      </x:c>
      <x:c r="D21" s="44" t="str">
        <x:v>Technical Lead / QA</x:v>
      </x:c>
      <x:c r="F21" s="44" t="str">
        <x:v>Schedule compression</x:v>
      </x:c>
      <x:c r="G21" s="44" t="str">
        <x:v>Risk</x:v>
      </x:c>
      <x:c r="H21" s="44" t="str">
        <x:v>Project Manager</x:v>
      </x:c>
      <x:c r="I21" s="44" t="str">
        <x:v>Monitoring</x:v>
      </x:c>
      <x:c r="J21" s="44" t="str">
        <x:v>2026-07-15</x:v>
      </x:c>
      <x:c r="K21" s="44" t="str">
        <x:v>Final demonstration</x:v>
      </x:c>
      <x:c r="L21" s="44" t="str">
        <x:v>R-007</x:v>
      </x:c>
    </x:row>
    <x:row r="22">
      <x:c r="A22" s="44" t="str">
        <x:v>G4</x:v>
      </x:c>
      <x:c r="B22" s="44" t="str">
        <x:v>Pilot Ready</x:v>
      </x:c>
      <x:c r="C22" s="44" t="str">
        <x:v>Pending</x:v>
      </x:c>
      <x:c r="D22" s="44" t="str">
        <x:v>Sponsor / QA</x:v>
      </x:c>
    </x:row>
    <x:row r="23">
      <x:c r="A23" s="44" t="str">
        <x:v>G5</x:v>
      </x:c>
      <x:c r="B23" s="44" t="str">
        <x:v>Acceptance</x:v>
      </x:c>
      <x:c r="C23" s="44" t="str">
        <x:v>Pending</x:v>
      </x:c>
      <x:c r="D23" s="44" t="str">
        <x:v>Product Owner / Sponsor</x:v>
      </x:c>
    </x:row>
    <x:row r="24">
      <x:c r="A24" s="44" t="str">
        <x:v>G6</x:v>
      </x:c>
      <x:c r="B24" s="44" t="str">
        <x:v>Closure</x:v>
      </x:c>
      <x:c r="C24" s="44" t="str">
        <x:v>Pending</x:v>
      </x:c>
      <x:c r="D24" s="44" t="str">
        <x:v>Sponsor</x:v>
      </x:c>
    </x:row>
  </x:sheetData>
  <x:mergeCells>
    <x:mergeCell ref="A1:L1"/>
    <x:mergeCell ref="A2:L2"/>
    <x:mergeCell ref="A4:C6"/>
    <x:mergeCell ref="D4:F6"/>
    <x:mergeCell ref="G4:I6"/>
    <x:mergeCell ref="J4:L6"/>
  </x:mergeCells>
  <x:pageMargins left="0.7" right="0.7" top="0.75" bottom="0.75" header="0.3" footer="0.3"/>
  <x:drawing xmlns:r="http://schemas.openxmlformats.org/officeDocument/2006/relationships" r:id="R9b55e2657b964c70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3" t="str">
        <x:v>Status</x:v>
      </x:c>
      <x:c r="B1" s="14" t="str">
        <x:v>Priority</x:v>
      </x:c>
      <x:c r="C1" s="14" t="str">
        <x:v>Risk Status</x:v>
      </x:c>
      <x:c r="D1" s="14" t="str">
        <x:v>Severity</x:v>
      </x:c>
      <x:c r="E1" s="14" t="str">
        <x:v>Test Result</x:v>
      </x:c>
      <x:c r="F1" s="14" t="str">
        <x:v>Change Decision</x:v>
      </x:c>
      <x:c r="G1" s="14" t="str">
        <x:v>Gate Decision</x:v>
      </x:c>
      <x:c r="H1" s="14" t="str">
        <x:v>Requirement Type</x:v>
      </x:c>
      <x:c r="I1" s="15" t="str">
        <x:v>Module</x:v>
      </x:c>
    </x:row>
    <x:row r="2">
      <x:c r="A2" t="str">
        <x:v>Not Started</x:v>
      </x:c>
      <x:c r="B2" t="str">
        <x:v>Critical</x:v>
      </x:c>
      <x:c r="C2" t="str">
        <x:v>Open</x:v>
      </x:c>
      <x:c r="D2" t="str">
        <x:v>Critical</x:v>
      </x:c>
      <x:c r="E2" t="str">
        <x:v>Not Run</x:v>
      </x:c>
      <x:c r="F2" t="str">
        <x:v>Pending</x:v>
      </x:c>
      <x:c r="G2" t="str">
        <x:v>Pending</x:v>
      </x:c>
      <x:c r="H2" t="str">
        <x:v>Functional</x:v>
      </x:c>
      <x:c r="I2" t="str">
        <x:v>Firmware</x:v>
      </x:c>
    </x:row>
    <x:row r="3">
      <x:c r="A3" t="str">
        <x:v>In Progress</x:v>
      </x:c>
      <x:c r="B3" t="str">
        <x:v>High</x:v>
      </x:c>
      <x:c r="C3" t="str">
        <x:v>Monitoring</x:v>
      </x:c>
      <x:c r="D3" t="str">
        <x:v>High</x:v>
      </x:c>
      <x:c r="E3" t="str">
        <x:v>Pass</x:v>
      </x:c>
      <x:c r="F3" t="str">
        <x:v>Approved</x:v>
      </x:c>
      <x:c r="G3" t="str">
        <x:v>Approved</x:v>
      </x:c>
      <x:c r="H3" t="str">
        <x:v>Non-Functional</x:v>
      </x:c>
      <x:c r="I3" t="str">
        <x:v>Backend</x:v>
      </x:c>
    </x:row>
    <x:row r="4">
      <x:c r="A4" t="str">
        <x:v>Complete</x:v>
      </x:c>
      <x:c r="B4" t="str">
        <x:v>Medium</x:v>
      </x:c>
      <x:c r="C4" t="str">
        <x:v>Mitigated</x:v>
      </x:c>
      <x:c r="D4" t="str">
        <x:v>Medium</x:v>
      </x:c>
      <x:c r="E4" t="str">
        <x:v>Fail</x:v>
      </x:c>
      <x:c r="F4" t="str">
        <x:v>Rejected</x:v>
      </x:c>
      <x:c r="G4" t="str">
        <x:v>Conditional</x:v>
      </x:c>
      <x:c r="H4" t="str">
        <x:v>Business Rule</x:v>
      </x:c>
      <x:c r="I4" t="str">
        <x:v>Mobile</x:v>
      </x:c>
    </x:row>
    <x:row r="5">
      <x:c r="A5" t="str">
        <x:v>Blocked</x:v>
      </x:c>
      <x:c r="B5" t="str">
        <x:v>Low</x:v>
      </x:c>
      <x:c r="C5" t="str">
        <x:v>Closed</x:v>
      </x:c>
      <x:c r="D5" t="str">
        <x:v>Low</x:v>
      </x:c>
      <x:c r="E5" t="str">
        <x:v>Blocked</x:v>
      </x:c>
      <x:c r="F5" t="str">
        <x:v>Deferred</x:v>
      </x:c>
      <x:c r="G5" t="str">
        <x:v>Rejected</x:v>
      </x:c>
      <x:c r="H5" t="str">
        <x:v>Interface</x:v>
      </x:c>
      <x:c r="I5" t="str">
        <x:v>AI</x:v>
      </x:c>
    </x:row>
    <x:row r="6">
      <x:c r="A6" t="str">
        <x:v>Deferred</x:v>
      </x:c>
      <x:c r="B6" t="str"/>
      <x:c r="C6" t="str">
        <x:v>Accepted</x:v>
      </x:c>
      <x:c r="D6" t="str"/>
      <x:c r="E6" t="str"/>
      <x:c r="F6" t="str"/>
      <x:c r="G6" t="str"/>
      <x:c r="H6" t="str">
        <x:v>Data</x:v>
      </x:c>
      <x:c r="I6" t="str">
        <x:v>Cross-cutting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0" hidden="0" customWidth="1"/>
    <x:col min="4" max="4" width="16" hidden="0" customWidth="1"/>
    <x:col min="5" max="5" width="20" hidden="0" customWidth="1"/>
    <x:col min="6" max="6" width="20" hidden="0" customWidth="1"/>
    <x:col min="7" max="7" width="14" hidden="0" customWidth="1"/>
    <x:col min="8" max="8" width="52" hidden="0" customWidth="1"/>
  </x:cols>
  <x:sheetData>
    <x:row r="1" ht="30" customHeight="1">
      <x:c r="A1" s="33" t="str">
        <x:v>LNTB Controlled Document Register</x:v>
      </x:c>
      <x:c r="B1" s="33"/>
      <x:c r="C1" s="33"/>
      <x:c r="D1" s="33"/>
      <x:c r="E1" s="33"/>
      <x:c r="F1" s="33"/>
      <x:c r="G1" s="33"/>
      <x:c r="H1" s="33"/>
    </x:row>
    <x:row r="2" ht="38" customHeight="1">
      <x:c r="A2" s="40" t="str">
        <x:v>Current PLC/SDLC baseline and approval status.</x:v>
      </x:c>
      <x:c r="B2" s="40"/>
      <x:c r="C2" s="40"/>
      <x:c r="D2" s="40"/>
      <x:c r="E2" s="40"/>
      <x:c r="F2" s="40"/>
      <x:c r="G2" s="40"/>
      <x:c r="H2" s="40"/>
    </x:row>
    <x:row r="4" ht="30" customHeight="1">
      <x:c r="A4" s="13" t="str">
        <x:v>Document ID</x:v>
      </x:c>
      <x:c r="B4" s="14" t="str">
        <x:v>Title</x:v>
      </x:c>
      <x:c r="C4" s="14" t="str">
        <x:v>Version</x:v>
      </x:c>
      <x:c r="D4" s="14" t="str">
        <x:v>Status</x:v>
      </x:c>
      <x:c r="E4" s="14" t="str">
        <x:v>Owner</x:v>
      </x:c>
      <x:c r="F4" s="14" t="str">
        <x:v>Approver</x:v>
      </x:c>
      <x:c r="G4" s="14" t="str">
        <x:v>Effective Date</x:v>
      </x:c>
      <x:c r="H4" s="15" t="str">
        <x:v>File</x:v>
      </x:c>
    </x:row>
    <x:row r="5">
      <x:c r="A5" s="48" t="str">
        <x:v>LNTB-GOV-001</x:v>
      </x:c>
      <x:c r="B5" s="49" t="str">
        <x:v>Document Control Register and Governance Plan</x:v>
      </x:c>
      <x:c r="C5" s="49" t="str">
        <x:v>1.0</x:v>
      </x:c>
      <x:c r="D5" s="49" t="str">
        <x:v>Baseline</x:v>
      </x:c>
      <x:c r="E5" s="49" t="str">
        <x:v>Project Manager</x:v>
      </x:c>
      <x:c r="F5" s="49" t="str">
        <x:v>Sponsor</x:v>
      </x:c>
      <x:c r="G5" s="64" t="str">
        <x:v>2026-07-11</x:v>
      </x:c>
      <x:c r="H5" s="50" t="str">
        <x:v>docs/00_LNTB_Document_Control_Register_and_Governance.docx</x:v>
      </x:c>
    </x:row>
    <x:row r="6">
      <x:c r="A6" s="51" t="str">
        <x:v>LNTB-PLC-001</x:v>
      </x:c>
      <x:c r="B6" s="46" t="str">
        <x:v>Project Charter, Business Case and Feasibility</x:v>
      </x:c>
      <x:c r="C6" s="46" t="str">
        <x:v>1.0</x:v>
      </x:c>
      <x:c r="D6" s="46" t="str">
        <x:v>Baseline</x:v>
      </x:c>
      <x:c r="E6" s="46" t="str">
        <x:v>Project Manager</x:v>
      </x:c>
      <x:c r="F6" s="46" t="str">
        <x:v>Sponsor</x:v>
      </x:c>
      <x:c r="G6" s="65" t="str">
        <x:v>2026-07-11</x:v>
      </x:c>
      <x:c r="H6" s="52" t="str">
        <x:v>docs/01_LNTB_Project_Charter_Business_Case_and_Feasibility.docx</x:v>
      </x:c>
    </x:row>
    <x:row r="7">
      <x:c r="A7" s="51" t="str">
        <x:v>LNTB-PMP-001</x:v>
      </x:c>
      <x:c r="B7" s="46" t="str">
        <x:v>Project Management Plan</x:v>
      </x:c>
      <x:c r="C7" s="46" t="str">
        <x:v>1.0</x:v>
      </x:c>
      <x:c r="D7" s="46" t="str">
        <x:v>Baseline</x:v>
      </x:c>
      <x:c r="E7" s="46" t="str">
        <x:v>Project Manager</x:v>
      </x:c>
      <x:c r="F7" s="46" t="str">
        <x:v>Sponsor</x:v>
      </x:c>
      <x:c r="G7" s="65" t="str">
        <x:v>2026-07-11</x:v>
      </x:c>
      <x:c r="H7" s="52" t="str">
        <x:v>docs/02_LNTB_Project_Management_Plan.docx</x:v>
      </x:c>
    </x:row>
    <x:row r="8">
      <x:c r="A8" s="51" t="str">
        <x:v>LNTB-STA-001</x:v>
      </x:c>
      <x:c r="B8" s="46" t="str">
        <x:v>Stakeholder, Communication, RACI and Change Control</x:v>
      </x:c>
      <x:c r="C8" s="46" t="str">
        <x:v>1.0</x:v>
      </x:c>
      <x:c r="D8" s="46" t="str">
        <x:v>Baseline</x:v>
      </x:c>
      <x:c r="E8" s="46" t="str">
        <x:v>Project Manager</x:v>
      </x:c>
      <x:c r="F8" s="46" t="str">
        <x:v>Sponsor</x:v>
      </x:c>
      <x:c r="G8" s="65" t="str">
        <x:v>2026-07-11</x:v>
      </x:c>
      <x:c r="H8" s="52" t="str">
        <x:v>docs/03_LNTB_Stakeholder_Communication_RACI_and_Change_Control.docx</x:v>
      </x:c>
    </x:row>
    <x:row r="9">
      <x:c r="A9" s="51" t="str">
        <x:v>LNTB-SRS-001</x:v>
      </x:c>
      <x:c r="B9" s="46" t="str">
        <x:v>Software Requirements Specification</x:v>
      </x:c>
      <x:c r="C9" s="46" t="str">
        <x:v>1.0</x:v>
      </x:c>
      <x:c r="D9" s="46" t="str">
        <x:v>Baseline</x:v>
      </x:c>
      <x:c r="E9" s="46" t="str">
        <x:v>Business Analyst</x:v>
      </x:c>
      <x:c r="F9" s="46" t="str">
        <x:v>Product Owner</x:v>
      </x:c>
      <x:c r="G9" s="65" t="str">
        <x:v>2026-07-11</x:v>
      </x:c>
      <x:c r="H9" s="52" t="str">
        <x:v>docs/04_LNTB_Software_Requirements_Specification.docx</x:v>
      </x:c>
    </x:row>
    <x:row r="10">
      <x:c r="A10" s="51" t="str">
        <x:v>LNTB-ARC-001</x:v>
      </x:c>
      <x:c r="B10" s="46" t="str">
        <x:v>System Architecture, Data and API Design</x:v>
      </x:c>
      <x:c r="C10" s="46" t="str">
        <x:v>1.0</x:v>
      </x:c>
      <x:c r="D10" s="46" t="str">
        <x:v>Baseline</x:v>
      </x:c>
      <x:c r="E10" s="46" t="str">
        <x:v>Technical Lead</x:v>
      </x:c>
      <x:c r="F10" s="46" t="str">
        <x:v>Architecture Board</x:v>
      </x:c>
      <x:c r="G10" s="65" t="str">
        <x:v>2026-07-11</x:v>
      </x:c>
      <x:c r="H10" s="52" t="str">
        <x:v>docs/05_LNTB_System_Architecture_Data_and_API_Design.docx</x:v>
      </x:c>
    </x:row>
    <x:row r="11">
      <x:c r="A11" s="51" t="str">
        <x:v>LNTB-HFA-001</x:v>
      </x:c>
      <x:c r="B11" s="46" t="str">
        <x:v>Hardware, Firmware and AI Design</x:v>
      </x:c>
      <x:c r="C11" s="46" t="str">
        <x:v>1.0</x:v>
      </x:c>
      <x:c r="D11" s="46" t="str">
        <x:v>Baseline</x:v>
      </x:c>
      <x:c r="E11" s="46" t="str">
        <x:v>IoT / AI Lead</x:v>
      </x:c>
      <x:c r="F11" s="46" t="str">
        <x:v>Technical Lead</x:v>
      </x:c>
      <x:c r="G11" s="65" t="str">
        <x:v>2026-07-11</x:v>
      </x:c>
      <x:c r="H11" s="52" t="str">
        <x:v>docs/06_LNTB_Hardware_Firmware_and_AI_Design.docx</x:v>
      </x:c>
    </x:row>
    <x:row r="12">
      <x:c r="A12" s="51" t="str">
        <x:v>LNTB-UX-001</x:v>
      </x:c>
      <x:c r="B12" s="46" t="str">
        <x:v>UX, Localization and Accessibility Specification</x:v>
      </x:c>
      <x:c r="C12" s="46" t="str">
        <x:v>1.0</x:v>
      </x:c>
      <x:c r="D12" s="46" t="str">
        <x:v>Baseline</x:v>
      </x:c>
      <x:c r="E12" s="46" t="str">
        <x:v>UX / Mobile Lead</x:v>
      </x:c>
      <x:c r="F12" s="46" t="str">
        <x:v>Product Owner</x:v>
      </x:c>
      <x:c r="G12" s="65" t="str">
        <x:v>2026-07-11</x:v>
      </x:c>
      <x:c r="H12" s="52" t="str">
        <x:v>docs/07_LNTB_UX_Localization_and_Accessibility_Specification.docx</x:v>
      </x:c>
    </x:row>
    <x:row r="13">
      <x:c r="A13" s="51" t="str">
        <x:v>LNTB-SEC-001</x:v>
      </x:c>
      <x:c r="B13" s="46" t="str">
        <x:v>Security, Privacy, Backup and Continuity Plan</x:v>
      </x:c>
      <x:c r="C13" s="46" t="str">
        <x:v>1.0</x:v>
      </x:c>
      <x:c r="D13" s="46" t="str">
        <x:v>Baseline</x:v>
      </x:c>
      <x:c r="E13" s="46" t="str">
        <x:v>Security Owner</x:v>
      </x:c>
      <x:c r="F13" s="46" t="str">
        <x:v>Sponsor</x:v>
      </x:c>
      <x:c r="G13" s="65" t="str">
        <x:v>2026-07-11</x:v>
      </x:c>
      <x:c r="H13" s="52" t="str">
        <x:v>docs/08_LNTB_Security_Privacy_Backup_and_Continuity_Plan.docx</x:v>
      </x:c>
    </x:row>
    <x:row r="14">
      <x:c r="A14" s="51" t="str">
        <x:v>LNTB-QA-001</x:v>
      </x:c>
      <x:c r="B14" s="46" t="str">
        <x:v>Quality Assurance, Test and Acceptance Plan</x:v>
      </x:c>
      <x:c r="C14" s="46" t="str">
        <x:v>1.0</x:v>
      </x:c>
      <x:c r="D14" s="46" t="str">
        <x:v>Baseline</x:v>
      </x:c>
      <x:c r="E14" s="46" t="str">
        <x:v>QA Lead</x:v>
      </x:c>
      <x:c r="F14" s="46" t="str">
        <x:v>Product Owner</x:v>
      </x:c>
      <x:c r="G14" s="65" t="str">
        <x:v>2026-07-11</x:v>
      </x:c>
      <x:c r="H14" s="52" t="str">
        <x:v>docs/09_LNTB_Quality_Assurance_Test_and_Acceptance_Plan.docx</x:v>
      </x:c>
    </x:row>
    <x:row r="15">
      <x:c r="A15" s="51" t="str">
        <x:v>LNTB-OPS-001</x:v>
      </x:c>
      <x:c r="B15" s="46" t="str">
        <x:v>Deployment, Operations, Maintenance and Support Plan</x:v>
      </x:c>
      <x:c r="C15" s="46" t="str">
        <x:v>1.0</x:v>
      </x:c>
      <x:c r="D15" s="46" t="str">
        <x:v>Baseline</x:v>
      </x:c>
      <x:c r="E15" s="46" t="str">
        <x:v>Operations Lead</x:v>
      </x:c>
      <x:c r="F15" s="46" t="str">
        <x:v>Technical Lead</x:v>
      </x:c>
      <x:c r="G15" s="65" t="str">
        <x:v>2026-07-11</x:v>
      </x:c>
      <x:c r="H15" s="52" t="str">
        <x:v>docs/10_LNTB_Deployment_Operations_Maintenance_and_Support_Plan.docx</x:v>
      </x:c>
    </x:row>
    <x:row r="16">
      <x:c r="A16" s="51" t="str">
        <x:v>LNTB-CLS-001</x:v>
      </x:c>
      <x:c r="B16" s="46" t="str">
        <x:v>Training, Pilot Evaluation and Project Closure Plan</x:v>
      </x:c>
      <x:c r="C16" s="46" t="str">
        <x:v>1.0</x:v>
      </x:c>
      <x:c r="D16" s="46" t="str">
        <x:v>Baseline</x:v>
      </x:c>
      <x:c r="E16" s="46" t="str">
        <x:v>Project Manager</x:v>
      </x:c>
      <x:c r="F16" s="46" t="str">
        <x:v>Sponsor</x:v>
      </x:c>
      <x:c r="G16" s="65" t="str">
        <x:v>2026-07-11</x:v>
      </x:c>
      <x:c r="H16" s="52" t="str">
        <x:v>docs/11_LNTB_Training_Pilot_Evaluation_and_Project_Closure_Plan.docx</x:v>
      </x:c>
    </x:row>
    <x:row r="17">
      <x:c r="A17" s="53" t="str">
        <x:v>LNTB-REG-001</x:v>
      </x:c>
      <x:c r="B17" s="54" t="str">
        <x:v>PLC/SDLC Management Workbook</x:v>
      </x:c>
      <x:c r="C17" s="54" t="str">
        <x:v>1.0</x:v>
      </x:c>
      <x:c r="D17" s="54" t="str">
        <x:v>Working Register</x:v>
      </x:c>
      <x:c r="E17" s="54" t="str">
        <x:v>Configuration Manager</x:v>
      </x:c>
      <x:c r="F17" s="54" t="str">
        <x:v>Project Manager</x:v>
      </x:c>
      <x:c r="G17" s="66" t="str">
        <x:v>2026-07-11</x:v>
      </x:c>
      <x:c r="H17" s="55" t="str">
        <x:v>LNTB_PLC_SDLC_Management_Workbook.xlsx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a8d1424412a446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60" hidden="0" customWidth="1"/>
    <x:col min="5" max="5" width="12" hidden="0" customWidth="1"/>
    <x:col min="6" max="6" width="18" hidden="0" customWidth="1"/>
    <x:col min="7" max="7" width="18" hidden="0" customWidth="1"/>
    <x:col min="8" max="8" width="15" hidden="0" customWidth="1"/>
    <x:col min="9" max="9" width="18" hidden="0" customWidth="1"/>
    <x:col min="10" max="10" width="18" hidden="0" customWidth="1"/>
    <x:col min="11" max="11" width="20" hidden="0" customWidth="1"/>
  </x:cols>
  <x:sheetData>
    <x:row r="1" ht="30" customHeight="1">
      <x:c r="A1" s="33" t="str">
        <x:v>LNTB Requirements Register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8" customHeight="1">
      <x:c r="A2" s="40" t="str">
        <x:v>Mandatory product baseline. Update status only through approved delivery/change controls.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4" ht="30" customHeight="1">
      <x:c r="A4" s="13" t="str">
        <x:v>Requirement ID</x:v>
      </x:c>
      <x:c r="B4" s="14" t="str">
        <x:v>Type</x:v>
      </x:c>
      <x:c r="C4" s="14" t="str">
        <x:v>Module</x:v>
      </x:c>
      <x:c r="D4" s="14" t="str">
        <x:v>Requirement</x:v>
      </x:c>
      <x:c r="E4" s="14" t="str">
        <x:v>Priority</x:v>
      </x:c>
      <x:c r="F4" s="14" t="str">
        <x:v>Owner</x:v>
      </x:c>
      <x:c r="G4" s="14" t="str">
        <x:v>PLC/SDLC Phase</x:v>
      </x:c>
      <x:c r="H4" s="14" t="str">
        <x:v>Status</x:v>
      </x:c>
      <x:c r="I4" s="14" t="str">
        <x:v>Source</x:v>
      </x:c>
      <x:c r="J4" s="14" t="str">
        <x:v>Acceptance Class</x:v>
      </x:c>
      <x:c r="K4" s="15" t="str">
        <x:v>Category/Notes</x:v>
      </x:c>
    </x:row>
    <x:row r="5">
      <x:c r="A5" s="48" t="str">
        <x:v>FR-HW-01</x:v>
      </x:c>
      <x:c r="B5" s="49" t="str">
        <x:v>Functional</x:v>
      </x:c>
      <x:c r="C5" s="49" t="str">
        <x:v>Firmware</x:v>
      </x:c>
      <x:c r="D5" s="49" t="str">
        <x:v>Read soil moisture at configurable interval, default 60s.</x:v>
      </x:c>
      <x:c r="E5" s="49" t="str">
        <x:v>High</x:v>
      </x:c>
      <x:c r="F5" s="49" t="str">
        <x:v>IoT Lead</x:v>
      </x:c>
      <x:c r="G5" s="49" t="str">
        <x:v>Design</x:v>
      </x:c>
      <x:c r="H5" s="49" t="str">
        <x:v>Not Started</x:v>
      </x:c>
      <x:c r="I5" s="49" t="str">
        <x:v>LNTB-SRS-001</x:v>
      </x:c>
      <x:c r="J5" s="49" t="str">
        <x:v>Mandatory</x:v>
      </x:c>
      <x:c r="K5" s="50" t="str"/>
    </x:row>
    <x:row r="6">
      <x:c r="A6" s="51" t="str">
        <x:v>FR-HW-02</x:v>
      </x:c>
      <x:c r="B6" s="46" t="str">
        <x:v>Functional</x:v>
      </x:c>
      <x:c r="C6" s="46" t="str">
        <x:v>Firmware</x:v>
      </x:c>
      <x:c r="D6" s="46" t="str">
        <x:v>Read air temperature and humidity.</x:v>
      </x:c>
      <x:c r="E6" s="46" t="str">
        <x:v>High</x:v>
      </x:c>
      <x:c r="F6" s="46" t="str">
        <x:v>IoT Lead</x:v>
      </x:c>
      <x:c r="G6" s="46" t="str">
        <x:v>Design</x:v>
      </x:c>
      <x:c r="H6" s="46" t="str">
        <x:v>Not Started</x:v>
      </x:c>
      <x:c r="I6" s="46" t="str">
        <x:v>LNTB-SRS-001</x:v>
      </x:c>
      <x:c r="J6" s="46" t="str">
        <x:v>Mandatory</x:v>
      </x:c>
      <x:c r="K6" s="52" t="str"/>
    </x:row>
    <x:row r="7">
      <x:c r="A7" s="51" t="str">
        <x:v>FR-HW-03</x:v>
      </x:c>
      <x:c r="B7" s="46" t="str">
        <x:v>Functional</x:v>
      </x:c>
      <x:c r="C7" s="46" t="str">
        <x:v>Firmware</x:v>
      </x:c>
      <x:c r="D7" s="46" t="str">
        <x:v>Read ambient light.</x:v>
      </x:c>
      <x:c r="E7" s="46" t="str">
        <x:v>High</x:v>
      </x:c>
      <x:c r="F7" s="46" t="str">
        <x:v>IoT Lead</x:v>
      </x:c>
      <x:c r="G7" s="46" t="str">
        <x:v>Design</x:v>
      </x:c>
      <x:c r="H7" s="46" t="str">
        <x:v>Not Started</x:v>
      </x:c>
      <x:c r="I7" s="46" t="str">
        <x:v>LNTB-SRS-001</x:v>
      </x:c>
      <x:c r="J7" s="46" t="str">
        <x:v>Mandatory</x:v>
      </x:c>
      <x:c r="K7" s="52" t="str"/>
    </x:row>
    <x:row r="8">
      <x:c r="A8" s="51" t="str">
        <x:v>FR-HW-04</x:v>
      </x:c>
      <x:c r="B8" s="46" t="str">
        <x:v>Functional</x:v>
      </x:c>
      <x:c r="C8" s="46" t="str">
        <x:v>Firmware</x:v>
      </x:c>
      <x:c r="D8" s="46" t="str">
        <x:v>Submit timestamped readings over HTTPS JSON.</x:v>
      </x:c>
      <x:c r="E8" s="46" t="str">
        <x:v>High</x:v>
      </x:c>
      <x:c r="F8" s="46" t="str">
        <x:v>IoT Lead</x:v>
      </x:c>
      <x:c r="G8" s="46" t="str">
        <x:v>Design</x:v>
      </x:c>
      <x:c r="H8" s="46" t="str">
        <x:v>Not Started</x:v>
      </x:c>
      <x:c r="I8" s="46" t="str">
        <x:v>LNTB-SRS-001</x:v>
      </x:c>
      <x:c r="J8" s="46" t="str">
        <x:v>Mandatory</x:v>
      </x:c>
      <x:c r="K8" s="52" t="str"/>
    </x:row>
    <x:row r="9">
      <x:c r="A9" s="51" t="str">
        <x:v>FR-HW-05</x:v>
      </x:c>
      <x:c r="B9" s="46" t="str">
        <x:v>Functional</x:v>
      </x:c>
      <x:c r="C9" s="46" t="str">
        <x:v>Firmware</x:v>
      </x:c>
      <x:c r="D9" s="46" t="str">
        <x:v>Poll pending commands, default 10s.</x:v>
      </x:c>
      <x:c r="E9" s="46" t="str">
        <x:v>High</x:v>
      </x:c>
      <x:c r="F9" s="46" t="str">
        <x:v>IoT Lead</x:v>
      </x:c>
      <x:c r="G9" s="46" t="str">
        <x:v>Design</x:v>
      </x:c>
      <x:c r="H9" s="46" t="str">
        <x:v>Not Started</x:v>
      </x:c>
      <x:c r="I9" s="46" t="str">
        <x:v>LNTB-SRS-001</x:v>
      </x:c>
      <x:c r="J9" s="46" t="str">
        <x:v>Mandatory</x:v>
      </x:c>
      <x:c r="K9" s="52" t="str"/>
    </x:row>
    <x:row r="10">
      <x:c r="A10" s="51" t="str">
        <x:v>FR-HW-06</x:v>
      </x:c>
      <x:c r="B10" s="46" t="str">
        <x:v>Functional</x:v>
      </x:c>
      <x:c r="C10" s="46" t="str">
        <x:v>Firmware</x:v>
      </x:c>
      <x:c r="D10" s="46" t="str">
        <x:v>Execute pump commands through rated relay.</x:v>
      </x:c>
      <x:c r="E10" s="46" t="str">
        <x:v>Critical</x:v>
      </x:c>
      <x:c r="F10" s="46" t="str">
        <x:v>IoT Lead</x:v>
      </x:c>
      <x:c r="G10" s="46" t="str">
        <x:v>Design</x:v>
      </x:c>
      <x:c r="H10" s="46" t="str">
        <x:v>Not Started</x:v>
      </x:c>
      <x:c r="I10" s="46" t="str">
        <x:v>LNTB-SRS-001</x:v>
      </x:c>
      <x:c r="J10" s="46" t="str">
        <x:v>Mandatory</x:v>
      </x:c>
      <x:c r="K10" s="52" t="str"/>
    </x:row>
    <x:row r="11">
      <x:c r="A11" s="51" t="str">
        <x:v>FR-HW-07</x:v>
      </x:c>
      <x:c r="B11" s="46" t="str">
        <x:v>Functional</x:v>
      </x:c>
      <x:c r="C11" s="46" t="str">
        <x:v>Firmware</x:v>
      </x:c>
      <x:c r="D11" s="46" t="str">
        <x:v>Execute servo commands within limits.</x:v>
      </x:c>
      <x:c r="E11" s="46" t="str">
        <x:v>High</x:v>
      </x:c>
      <x:c r="F11" s="46" t="str">
        <x:v>IoT Lead</x:v>
      </x:c>
      <x:c r="G11" s="46" t="str">
        <x:v>Design</x:v>
      </x:c>
      <x:c r="H11" s="46" t="str">
        <x:v>Not Started</x:v>
      </x:c>
      <x:c r="I11" s="46" t="str">
        <x:v>LNTB-SRS-001</x:v>
      </x:c>
      <x:c r="J11" s="46" t="str">
        <x:v>Mandatory</x:v>
      </x:c>
      <x:c r="K11" s="52" t="str"/>
    </x:row>
    <x:row r="12">
      <x:c r="A12" s="51" t="str">
        <x:v>FR-HW-08</x:v>
      </x:c>
      <x:c r="B12" s="46" t="str">
        <x:v>Functional</x:v>
      </x:c>
      <x:c r="C12" s="46" t="str">
        <x:v>Firmware</x:v>
      </x:c>
      <x:c r="D12" s="46" t="str">
        <x:v>Acknowledge command outcome and timestamp.</x:v>
      </x:c>
      <x:c r="E12" s="46" t="str">
        <x:v>High</x:v>
      </x:c>
      <x:c r="F12" s="46" t="str">
        <x:v>IoT Lead</x:v>
      </x:c>
      <x:c r="G12" s="46" t="str">
        <x:v>Design</x:v>
      </x:c>
      <x:c r="H12" s="46" t="str">
        <x:v>Not Started</x:v>
      </x:c>
      <x:c r="I12" s="46" t="str">
        <x:v>LNTB-SRS-001</x:v>
      </x:c>
      <x:c r="J12" s="46" t="str">
        <x:v>Mandatory</x:v>
      </x:c>
      <x:c r="K12" s="52" t="str"/>
    </x:row>
    <x:row r="13">
      <x:c r="A13" s="51" t="str">
        <x:v>FR-HW-09</x:v>
      </x:c>
      <x:c r="B13" s="46" t="str">
        <x:v>Functional</x:v>
      </x:c>
      <x:c r="C13" s="46" t="str">
        <x:v>Firmware</x:v>
      </x:c>
      <x:c r="D13" s="46" t="str">
        <x:v>Use safe local moisture threshold during backend outage.</x:v>
      </x:c>
      <x:c r="E13" s="46" t="str">
        <x:v>Critical</x:v>
      </x:c>
      <x:c r="F13" s="46" t="str">
        <x:v>IoT Lead</x:v>
      </x:c>
      <x:c r="G13" s="46" t="str">
        <x:v>Design</x:v>
      </x:c>
      <x:c r="H13" s="46" t="str">
        <x:v>Not Started</x:v>
      </x:c>
      <x:c r="I13" s="46" t="str">
        <x:v>LNTB-SRS-001</x:v>
      </x:c>
      <x:c r="J13" s="46" t="str">
        <x:v>Mandatory</x:v>
      </x:c>
      <x:c r="K13" s="52" t="str"/>
    </x:row>
    <x:row r="14">
      <x:c r="A14" s="51" t="str">
        <x:v>FR-HW-10</x:v>
      </x:c>
      <x:c r="B14" s="46" t="str">
        <x:v>Functional</x:v>
      </x:c>
      <x:c r="C14" s="46" t="str">
        <x:v>Firmware</x:v>
      </x:c>
      <x:c r="D14" s="46" t="str">
        <x:v>Capture tomato image on schedule/trigger.</x:v>
      </x:c>
      <x:c r="E14" s="46" t="str">
        <x:v>High</x:v>
      </x:c>
      <x:c r="F14" s="46" t="str">
        <x:v>IoT Lead</x:v>
      </x:c>
      <x:c r="G14" s="46" t="str">
        <x:v>Design</x:v>
      </x:c>
      <x:c r="H14" s="46" t="str">
        <x:v>Not Started</x:v>
      </x:c>
      <x:c r="I14" s="46" t="str">
        <x:v>LNTB-SRS-001</x:v>
      </x:c>
      <x:c r="J14" s="46" t="str">
        <x:v>Mandatory</x:v>
      </x:c>
      <x:c r="K14" s="52" t="str"/>
    </x:row>
    <x:row r="15">
      <x:c r="A15" s="51" t="str">
        <x:v>FR-HW-11</x:v>
      </x:c>
      <x:c r="B15" s="46" t="str">
        <x:v>Functional</x:v>
      </x:c>
      <x:c r="C15" s="46" t="str">
        <x:v>Firmware</x:v>
      </x:c>
      <x:c r="D15" s="46" t="str">
        <x:v>Upload compressed image and metadata.</x:v>
      </x:c>
      <x:c r="E15" s="46" t="str">
        <x:v>High</x:v>
      </x:c>
      <x:c r="F15" s="46" t="str">
        <x:v>IoT Lead</x:v>
      </x:c>
      <x:c r="G15" s="46" t="str">
        <x:v>Design</x:v>
      </x:c>
      <x:c r="H15" s="46" t="str">
        <x:v>Not Started</x:v>
      </x:c>
      <x:c r="I15" s="46" t="str">
        <x:v>LNTB-SRS-001</x:v>
      </x:c>
      <x:c r="J15" s="46" t="str">
        <x:v>Mandatory</x:v>
      </x:c>
      <x:c r="K15" s="52" t="str"/>
    </x:row>
    <x:row r="16">
      <x:c r="A16" s="51" t="str">
        <x:v>FR-HW-12</x:v>
      </x:c>
      <x:c r="B16" s="46" t="str">
        <x:v>Functional</x:v>
      </x:c>
      <x:c r="C16" s="46" t="str">
        <x:v>Firmware</x:v>
      </x:c>
      <x:c r="D16" s="46" t="str">
        <x:v>Protect Wi-Fi/API configuration; no hardcoded secret.</x:v>
      </x:c>
      <x:c r="E16" s="46" t="str">
        <x:v>High</x:v>
      </x:c>
      <x:c r="F16" s="46" t="str">
        <x:v>IoT Lead</x:v>
      </x:c>
      <x:c r="G16" s="46" t="str">
        <x:v>Design</x:v>
      </x:c>
      <x:c r="H16" s="46" t="str">
        <x:v>Not Started</x:v>
      </x:c>
      <x:c r="I16" s="46" t="str">
        <x:v>LNTB-SRS-001</x:v>
      </x:c>
      <x:c r="J16" s="46" t="str">
        <x:v>Mandatory</x:v>
      </x:c>
      <x:c r="K16" s="52" t="str"/>
    </x:row>
    <x:row r="17">
      <x:c r="A17" s="51" t="str">
        <x:v>FR-HW-13</x:v>
      </x:c>
      <x:c r="B17" s="46" t="str">
        <x:v>Functional</x:v>
      </x:c>
      <x:c r="C17" s="46" t="str">
        <x:v>Firmware</x:v>
      </x:c>
      <x:c r="D17" s="46" t="str">
        <x:v>Reconnect automatically after Wi-Fi loss.</x:v>
      </x:c>
      <x:c r="E17" s="46" t="str">
        <x:v>High</x:v>
      </x:c>
      <x:c r="F17" s="46" t="str">
        <x:v>IoT Lead</x:v>
      </x:c>
      <x:c r="G17" s="46" t="str">
        <x:v>Design</x:v>
      </x:c>
      <x:c r="H17" s="46" t="str">
        <x:v>Not Started</x:v>
      </x:c>
      <x:c r="I17" s="46" t="str">
        <x:v>LNTB-SRS-001</x:v>
      </x:c>
      <x:c r="J17" s="46" t="str">
        <x:v>Mandatory</x:v>
      </x:c>
      <x:c r="K17" s="52" t="str"/>
    </x:row>
    <x:row r="18">
      <x:c r="A18" s="51" t="str">
        <x:v>FR-HW-14</x:v>
      </x:c>
      <x:c r="B18" s="46" t="str">
        <x:v>Functional</x:v>
      </x:c>
      <x:c r="C18" s="46" t="str">
        <x:v>Firmware</x:v>
      </x:c>
      <x:c r="D18" s="46" t="str">
        <x:v>Measure actual irrigation flow with calibrated meter.</x:v>
      </x:c>
      <x:c r="E18" s="46" t="str">
        <x:v>Critical</x:v>
      </x:c>
      <x:c r="F18" s="46" t="str">
        <x:v>IoT Lead</x:v>
      </x:c>
      <x:c r="G18" s="46" t="str">
        <x:v>Design</x:v>
      </x:c>
      <x:c r="H18" s="46" t="str">
        <x:v>Not Started</x:v>
      </x:c>
      <x:c r="I18" s="46" t="str">
        <x:v>LNTB-SRS-001</x:v>
      </x:c>
      <x:c r="J18" s="46" t="str">
        <x:v>Mandatory</x:v>
      </x:c>
      <x:c r="K18" s="52" t="str"/>
    </x:row>
    <x:row r="19">
      <x:c r="A19" s="51" t="str">
        <x:v>FR-HW-15</x:v>
      </x:c>
      <x:c r="B19" s="46" t="str">
        <x:v>Functional</x:v>
      </x:c>
      <x:c r="C19" s="46" t="str">
        <x:v>Firmware</x:v>
      </x:c>
      <x:c r="D19" s="46" t="str">
        <x:v>Measure pump energy with isolated calibrated meter.</x:v>
      </x:c>
      <x:c r="E19" s="46" t="str">
        <x:v>Critical</x:v>
      </x:c>
      <x:c r="F19" s="46" t="str">
        <x:v>IoT Lead</x:v>
      </x:c>
      <x:c r="G19" s="46" t="str">
        <x:v>Design</x:v>
      </x:c>
      <x:c r="H19" s="46" t="str">
        <x:v>Not Started</x:v>
      </x:c>
      <x:c r="I19" s="46" t="str">
        <x:v>LNTB-SRS-001</x:v>
      </x:c>
      <x:c r="J19" s="46" t="str">
        <x:v>Mandatory</x:v>
      </x:c>
      <x:c r="K19" s="52" t="str"/>
    </x:row>
    <x:row r="20">
      <x:c r="A20" s="51" t="str">
        <x:v>FR-HW-16</x:v>
      </x:c>
      <x:c r="B20" s="46" t="str">
        <x:v>Functional</x:v>
      </x:c>
      <x:c r="C20" s="46" t="str">
        <x:v>Firmware</x:v>
      </x:c>
      <x:c r="D20" s="46" t="str">
        <x:v>Buffer 24h and synchronize idempotently.</x:v>
      </x:c>
      <x:c r="E20" s="46" t="str">
        <x:v>Critical</x:v>
      </x:c>
      <x:c r="F20" s="46" t="str">
        <x:v>IoT Lead</x:v>
      </x:c>
      <x:c r="G20" s="46" t="str">
        <x:v>Design</x:v>
      </x:c>
      <x:c r="H20" s="46" t="str">
        <x:v>Not Started</x:v>
      </x:c>
      <x:c r="I20" s="46" t="str">
        <x:v>LNTB-SRS-001</x:v>
      </x:c>
      <x:c r="J20" s="46" t="str">
        <x:v>Mandatory</x:v>
      </x:c>
      <x:c r="K20" s="52" t="str"/>
    </x:row>
    <x:row r="21">
      <x:c r="A21" s="51" t="str">
        <x:v>FR-HW-17</x:v>
      </x:c>
      <x:c r="B21" s="46" t="str">
        <x:v>Functional</x:v>
      </x:c>
      <x:c r="C21" s="46" t="str">
        <x:v>Firmware</x:v>
      </x:c>
      <x:c r="D21" s="46" t="str">
        <x:v>Enforce max runtime, plausibility and fail-off safety.</x:v>
      </x:c>
      <x:c r="E21" s="46" t="str">
        <x:v>Critical</x:v>
      </x:c>
      <x:c r="F21" s="46" t="str">
        <x:v>IoT Lead</x:v>
      </x:c>
      <x:c r="G21" s="46" t="str">
        <x:v>Design</x:v>
      </x:c>
      <x:c r="H21" s="46" t="str">
        <x:v>Not Started</x:v>
      </x:c>
      <x:c r="I21" s="46" t="str">
        <x:v>LNTB-SRS-001</x:v>
      </x:c>
      <x:c r="J21" s="46" t="str">
        <x:v>Mandatory</x:v>
      </x:c>
      <x:c r="K21" s="52" t="str"/>
    </x:row>
    <x:row r="22">
      <x:c r="A22" s="51" t="str">
        <x:v>FR-BE-01</x:v>
      </x:c>
      <x:c r="B22" s="46" t="str">
        <x:v>Functional</x:v>
      </x:c>
      <x:c r="C22" s="46" t="str">
        <x:v>Backend</x:v>
      </x:c>
      <x:c r="D22" s="46" t="str">
        <x:v>Authenticate and validate device telemetry.</x:v>
      </x:c>
      <x:c r="E22" s="46" t="str">
        <x:v>High</x:v>
      </x:c>
      <x:c r="F22" s="46" t="str">
        <x:v>Backend Lead</x:v>
      </x:c>
      <x:c r="G22" s="46" t="str">
        <x:v>Design</x:v>
      </x:c>
      <x:c r="H22" s="46" t="str">
        <x:v>Not Started</x:v>
      </x:c>
      <x:c r="I22" s="46" t="str">
        <x:v>LNTB-SRS-001</x:v>
      </x:c>
      <x:c r="J22" s="46" t="str">
        <x:v>Mandatory</x:v>
      </x:c>
      <x:c r="K22" s="52" t="str"/>
    </x:row>
    <x:row r="23">
      <x:c r="A23" s="51" t="str">
        <x:v>FR-BE-02</x:v>
      </x:c>
      <x:c r="B23" s="46" t="str">
        <x:v>Functional</x:v>
      </x:c>
      <x:c r="C23" s="46" t="str">
        <x:v>Backend</x:v>
      </x:c>
      <x:c r="D23" s="46" t="str">
        <x:v>Return authorized pending commands.</x:v>
      </x:c>
      <x:c r="E23" s="46" t="str">
        <x:v>High</x:v>
      </x:c>
      <x:c r="F23" s="46" t="str">
        <x:v>Backend Lead</x:v>
      </x:c>
      <x:c r="G23" s="46" t="str">
        <x:v>Design</x:v>
      </x:c>
      <x:c r="H23" s="46" t="str">
        <x:v>Not Started</x:v>
      </x:c>
      <x:c r="I23" s="46" t="str">
        <x:v>LNTB-SRS-001</x:v>
      </x:c>
      <x:c r="J23" s="46" t="str">
        <x:v>Mandatory</x:v>
      </x:c>
      <x:c r="K23" s="52" t="str"/>
    </x:row>
    <x:row r="24">
      <x:c r="A24" s="51" t="str">
        <x:v>FR-BE-03</x:v>
      </x:c>
      <x:c r="B24" s="46" t="str">
        <x:v>Functional</x:v>
      </x:c>
      <x:c r="C24" s="46" t="str">
        <x:v>Backend</x:v>
      </x:c>
      <x:c r="D24" s="46" t="str">
        <x:v>Receive idempotent command acknowledgements.</x:v>
      </x:c>
      <x:c r="E24" s="46" t="str">
        <x:v>High</x:v>
      </x:c>
      <x:c r="F24" s="46" t="str">
        <x:v>Backend Lead</x:v>
      </x:c>
      <x:c r="G24" s="46" t="str">
        <x:v>Design</x:v>
      </x:c>
      <x:c r="H24" s="46" t="str">
        <x:v>Not Started</x:v>
      </x:c>
      <x:c r="I24" s="46" t="str">
        <x:v>LNTB-SRS-001</x:v>
      </x:c>
      <x:c r="J24" s="46" t="str">
        <x:v>Mandatory</x:v>
      </x:c>
      <x:c r="K24" s="52" t="str"/>
    </x:row>
    <x:row r="25">
      <x:c r="A25" s="51" t="str">
        <x:v>FR-BE-04</x:v>
      </x:c>
      <x:c r="B25" s="46" t="str">
        <x:v>Functional</x:v>
      </x:c>
      <x:c r="C25" s="46" t="str">
        <x:v>Backend</x:v>
      </x:c>
      <x:c r="D25" s="46" t="str">
        <x:v>Receive images, queue inference and store results.</x:v>
      </x:c>
      <x:c r="E25" s="46" t="str">
        <x:v>High</x:v>
      </x:c>
      <x:c r="F25" s="46" t="str">
        <x:v>Backend Lead</x:v>
      </x:c>
      <x:c r="G25" s="46" t="str">
        <x:v>Design</x:v>
      </x:c>
      <x:c r="H25" s="46" t="str">
        <x:v>Not Started</x:v>
      </x:c>
      <x:c r="I25" s="46" t="str">
        <x:v>LNTB-SRS-001</x:v>
      </x:c>
      <x:c r="J25" s="46" t="str">
        <x:v>Mandatory</x:v>
      </x:c>
      <x:c r="K25" s="52" t="str"/>
    </x:row>
    <x:row r="26">
      <x:c r="A26" s="51" t="str">
        <x:v>FR-BE-05</x:v>
      </x:c>
      <x:c r="B26" s="46" t="str">
        <x:v>Functional</x:v>
      </x:c>
      <x:c r="C26" s="46" t="str">
        <x:v>Backend</x:v>
      </x:c>
      <x:c r="D26" s="46" t="str">
        <x:v>Calculate water, energy and cost from metered data.</x:v>
      </x:c>
      <x:c r="E26" s="46" t="str">
        <x:v>High</x:v>
      </x:c>
      <x:c r="F26" s="46" t="str">
        <x:v>Backend Lead</x:v>
      </x:c>
      <x:c r="G26" s="46" t="str">
        <x:v>Design</x:v>
      </x:c>
      <x:c r="H26" s="46" t="str">
        <x:v>Not Started</x:v>
      </x:c>
      <x:c r="I26" s="46" t="str">
        <x:v>LNTB-SRS-001</x:v>
      </x:c>
      <x:c r="J26" s="46" t="str">
        <x:v>Mandatory</x:v>
      </x:c>
      <x:c r="K26" s="52" t="str"/>
    </x:row>
    <x:row r="27">
      <x:c r="A27" s="51" t="str">
        <x:v>FR-BE-06</x:v>
      </x:c>
      <x:c r="B27" s="46" t="str">
        <x:v>Functional</x:v>
      </x:c>
      <x:c r="C27" s="46" t="str">
        <x:v>Backend</x:v>
      </x:c>
      <x:c r="D27" s="46" t="str">
        <x:v>Run idempotent daily usage rollup.</x:v>
      </x:c>
      <x:c r="E27" s="46" t="str">
        <x:v>High</x:v>
      </x:c>
      <x:c r="F27" s="46" t="str">
        <x:v>Backend Lead</x:v>
      </x:c>
      <x:c r="G27" s="46" t="str">
        <x:v>Design</x:v>
      </x:c>
      <x:c r="H27" s="46" t="str">
        <x:v>Not Started</x:v>
      </x:c>
      <x:c r="I27" s="46" t="str">
        <x:v>LNTB-SRS-001</x:v>
      </x:c>
      <x:c r="J27" s="46" t="str">
        <x:v>Mandatory</x:v>
      </x:c>
      <x:c r="K27" s="52" t="str"/>
    </x:row>
    <x:row r="28">
      <x:c r="A28" s="51" t="str">
        <x:v>FR-BE-07</x:v>
      </x:c>
      <x:c r="B28" s="46" t="str">
        <x:v>Functional</x:v>
      </x:c>
      <x:c r="C28" s="46" t="str">
        <x:v>Backend</x:v>
      </x:c>
      <x:c r="D28" s="46" t="str">
        <x:v>Broadcast authorized live farm updates via Reverb.</x:v>
      </x:c>
      <x:c r="E28" s="46" t="str">
        <x:v>High</x:v>
      </x:c>
      <x:c r="F28" s="46" t="str">
        <x:v>Backend Lead</x:v>
      </x:c>
      <x:c r="G28" s="46" t="str">
        <x:v>Design</x:v>
      </x:c>
      <x:c r="H28" s="46" t="str">
        <x:v>Not Started</x:v>
      </x:c>
      <x:c r="I28" s="46" t="str">
        <x:v>LNTB-SRS-001</x:v>
      </x:c>
      <x:c r="J28" s="46" t="str">
        <x:v>Mandatory</x:v>
      </x:c>
      <x:c r="K28" s="52" t="str"/>
    </x:row>
    <x:row r="29">
      <x:c r="A29" s="51" t="str">
        <x:v>FR-BE-08</x:v>
      </x:c>
      <x:c r="B29" s="46" t="str">
        <x:v>Functional</x:v>
      </x:c>
      <x:c r="C29" s="46" t="str">
        <x:v>Backend</x:v>
      </x:c>
      <x:c r="D29" s="46" t="str">
        <x:v>Push ready-to-harvest notifications.</x:v>
      </x:c>
      <x:c r="E29" s="46" t="str">
        <x:v>High</x:v>
      </x:c>
      <x:c r="F29" s="46" t="str">
        <x:v>Backend Lead</x:v>
      </x:c>
      <x:c r="G29" s="46" t="str">
        <x:v>Design</x:v>
      </x:c>
      <x:c r="H29" s="46" t="str">
        <x:v>Not Started</x:v>
      </x:c>
      <x:c r="I29" s="46" t="str">
        <x:v>LNTB-SRS-001</x:v>
      </x:c>
      <x:c r="J29" s="46" t="str">
        <x:v>Mandatory</x:v>
      </x:c>
      <x:c r="K29" s="52" t="str"/>
    </x:row>
    <x:row r="30">
      <x:c r="A30" s="51" t="str">
        <x:v>FR-BE-09</x:v>
      </x:c>
      <x:c r="B30" s="46" t="str">
        <x:v>Functional</x:v>
      </x:c>
      <x:c r="C30" s="46" t="str">
        <x:v>Backend</x:v>
      </x:c>
      <x:c r="D30" s="46" t="str">
        <x:v>Push threshold, safety and offline alerts.</x:v>
      </x:c>
      <x:c r="E30" s="46" t="str">
        <x:v>High</x:v>
      </x:c>
      <x:c r="F30" s="46" t="str">
        <x:v>Backend Lead</x:v>
      </x:c>
      <x:c r="G30" s="46" t="str">
        <x:v>Design</x:v>
      </x:c>
      <x:c r="H30" s="46" t="str">
        <x:v>Not Started</x:v>
      </x:c>
      <x:c r="I30" s="46" t="str">
        <x:v>LNTB-SRS-001</x:v>
      </x:c>
      <x:c r="J30" s="46" t="str">
        <x:v>Mandatory</x:v>
      </x:c>
      <x:c r="K30" s="52" t="str"/>
    </x:row>
    <x:row r="31">
      <x:c r="A31" s="51" t="str">
        <x:v>FR-BE-10</x:v>
      </x:c>
      <x:c r="B31" s="46" t="str">
        <x:v>Functional</x:v>
      </x:c>
      <x:c r="C31" s="46" t="str">
        <x:v>Backend</x:v>
      </x:c>
      <x:c r="D31" s="46" t="str">
        <x:v>Provide Sanctum mobile authentication.</x:v>
      </x:c>
      <x:c r="E31" s="46" t="str">
        <x:v>High</x:v>
      </x:c>
      <x:c r="F31" s="46" t="str">
        <x:v>Backend Lead</x:v>
      </x:c>
      <x:c r="G31" s="46" t="str">
        <x:v>Design</x:v>
      </x:c>
      <x:c r="H31" s="46" t="str">
        <x:v>Not Started</x:v>
      </x:c>
      <x:c r="I31" s="46" t="str">
        <x:v>LNTB-SRS-001</x:v>
      </x:c>
      <x:c r="J31" s="46" t="str">
        <x:v>Mandatory</x:v>
      </x:c>
      <x:c r="K31" s="52" t="str"/>
    </x:row>
    <x:row r="32">
      <x:c r="A32" s="51" t="str">
        <x:v>FR-BE-11</x:v>
      </x:c>
      <x:c r="B32" s="46" t="str">
        <x:v>Functional</x:v>
      </x:c>
      <x:c r="C32" s="46" t="str">
        <x:v>Backend</x:v>
      </x:c>
      <x:c r="D32" s="46" t="str">
        <x:v>Provide paginated/filterable logbook APIs.</x:v>
      </x:c>
      <x:c r="E32" s="46" t="str">
        <x:v>High</x:v>
      </x:c>
      <x:c r="F32" s="46" t="str">
        <x:v>Backend Lead</x:v>
      </x:c>
      <x:c r="G32" s="46" t="str">
        <x:v>Design</x:v>
      </x:c>
      <x:c r="H32" s="46" t="str">
        <x:v>Not Started</x:v>
      </x:c>
      <x:c r="I32" s="46" t="str">
        <x:v>LNTB-SRS-001</x:v>
      </x:c>
      <x:c r="J32" s="46" t="str">
        <x:v>Mandatory</x:v>
      </x:c>
      <x:c r="K32" s="52" t="str"/>
    </x:row>
    <x:row r="33">
      <x:c r="A33" s="51" t="str">
        <x:v>FR-BE-12</x:v>
      </x:c>
      <x:c r="B33" s="46" t="str">
        <x:v>Functional</x:v>
      </x:c>
      <x:c r="C33" s="46" t="str">
        <x:v>Backend</x:v>
      </x:c>
      <x:c r="D33" s="46" t="str">
        <x:v>Allow safe authorized manual irrigation.</x:v>
      </x:c>
      <x:c r="E33" s="46" t="str">
        <x:v>Critical</x:v>
      </x:c>
      <x:c r="F33" s="46" t="str">
        <x:v>Backend Lead</x:v>
      </x:c>
      <x:c r="G33" s="46" t="str">
        <x:v>Design</x:v>
      </x:c>
      <x:c r="H33" s="46" t="str">
        <x:v>Not Started</x:v>
      </x:c>
      <x:c r="I33" s="46" t="str">
        <x:v>LNTB-SRS-001</x:v>
      </x:c>
      <x:c r="J33" s="46" t="str">
        <x:v>Mandatory</x:v>
      </x:c>
      <x:c r="K33" s="52" t="str"/>
    </x:row>
    <x:row r="34">
      <x:c r="A34" s="51" t="str">
        <x:v>FR-BE-13</x:v>
      </x:c>
      <x:c r="B34" s="46" t="str">
        <x:v>Functional</x:v>
      </x:c>
      <x:c r="C34" s="46" t="str">
        <x:v>Backend</x:v>
      </x:c>
      <x:c r="D34" s="46" t="str">
        <x:v>Record complete irrigation event audit data.</x:v>
      </x:c>
      <x:c r="E34" s="46" t="str">
        <x:v>High</x:v>
      </x:c>
      <x:c r="F34" s="46" t="str">
        <x:v>Backend Lead</x:v>
      </x:c>
      <x:c r="G34" s="46" t="str">
        <x:v>Design</x:v>
      </x:c>
      <x:c r="H34" s="46" t="str">
        <x:v>Not Started</x:v>
      </x:c>
      <x:c r="I34" s="46" t="str">
        <x:v>LNTB-SRS-001</x:v>
      </x:c>
      <x:c r="J34" s="46" t="str">
        <x:v>Mandatory</x:v>
      </x:c>
      <x:c r="K34" s="52" t="str"/>
    </x:row>
    <x:row r="35">
      <x:c r="A35" s="51" t="str">
        <x:v>FR-BE-14</x:v>
      </x:c>
      <x:c r="B35" s="46" t="str">
        <x:v>Functional</x:v>
      </x:c>
      <x:c r="C35" s="46" t="str">
        <x:v>Backend</x:v>
      </x:c>
      <x:c r="D35" s="46" t="str">
        <x:v>Maintain versioned thresholds/tariffs.</x:v>
      </x:c>
      <x:c r="E35" s="46" t="str">
        <x:v>High</x:v>
      </x:c>
      <x:c r="F35" s="46" t="str">
        <x:v>Backend Lead</x:v>
      </x:c>
      <x:c r="G35" s="46" t="str">
        <x:v>Design</x:v>
      </x:c>
      <x:c r="H35" s="46" t="str">
        <x:v>Not Started</x:v>
      </x:c>
      <x:c r="I35" s="46" t="str">
        <x:v>LNTB-SRS-001</x:v>
      </x:c>
      <x:c r="J35" s="46" t="str">
        <x:v>Mandatory</x:v>
      </x:c>
      <x:c r="K35" s="52" t="str"/>
    </x:row>
    <x:row r="36">
      <x:c r="A36" s="51" t="str">
        <x:v>FR-BE-15</x:v>
      </x:c>
      <x:c r="B36" s="46" t="str">
        <x:v>Functional</x:v>
      </x:c>
      <x:c r="C36" s="46" t="str">
        <x:v>Backend</x:v>
      </x:c>
      <x:c r="D36" s="46" t="str">
        <x:v>Register, rotate and revoke device credentials.</x:v>
      </x:c>
      <x:c r="E36" s="46" t="str">
        <x:v>Critical</x:v>
      </x:c>
      <x:c r="F36" s="46" t="str">
        <x:v>Backend Lead</x:v>
      </x:c>
      <x:c r="G36" s="46" t="str">
        <x:v>Design</x:v>
      </x:c>
      <x:c r="H36" s="46" t="str">
        <x:v>Not Started</x:v>
      </x:c>
      <x:c r="I36" s="46" t="str">
        <x:v>LNTB-SRS-001</x:v>
      </x:c>
      <x:c r="J36" s="46" t="str">
        <x:v>Mandatory</x:v>
      </x:c>
      <x:c r="K36" s="52" t="str"/>
    </x:row>
    <x:row r="37">
      <x:c r="A37" s="51" t="str">
        <x:v>FR-BE-16</x:v>
      </x:c>
      <x:c r="B37" s="46" t="str">
        <x:v>Functional</x:v>
      </x:c>
      <x:c r="C37" s="46" t="str">
        <x:v>Backend</x:v>
      </x:c>
      <x:c r="D37" s="46" t="str">
        <x:v>Deduplicate ingestion using client IDs/idempotency.</x:v>
      </x:c>
      <x:c r="E37" s="46" t="str">
        <x:v>Critical</x:v>
      </x:c>
      <x:c r="F37" s="46" t="str">
        <x:v>Backend Lead</x:v>
      </x:c>
      <x:c r="G37" s="46" t="str">
        <x:v>Design</x:v>
      </x:c>
      <x:c r="H37" s="46" t="str">
        <x:v>Not Started</x:v>
      </x:c>
      <x:c r="I37" s="46" t="str">
        <x:v>LNTB-SRS-001</x:v>
      </x:c>
      <x:c r="J37" s="46" t="str">
        <x:v>Mandatory</x:v>
      </x:c>
      <x:c r="K37" s="52" t="str"/>
    </x:row>
    <x:row r="38">
      <x:c r="A38" s="51" t="str">
        <x:v>FR-BE-17</x:v>
      </x:c>
      <x:c r="B38" s="46" t="str">
        <x:v>Functional</x:v>
      </x:c>
      <x:c r="C38" s="46" t="str">
        <x:v>Backend</x:v>
      </x:c>
      <x:c r="D38" s="46" t="str">
        <x:v>Store images privately with retention controls.</x:v>
      </x:c>
      <x:c r="E38" s="46" t="str">
        <x:v>High</x:v>
      </x:c>
      <x:c r="F38" s="46" t="str">
        <x:v>Backend Lead</x:v>
      </x:c>
      <x:c r="G38" s="46" t="str">
        <x:v>Design</x:v>
      </x:c>
      <x:c r="H38" s="46" t="str">
        <x:v>Not Started</x:v>
      </x:c>
      <x:c r="I38" s="46" t="str">
        <x:v>LNTB-SRS-001</x:v>
      </x:c>
      <x:c r="J38" s="46" t="str">
        <x:v>Mandatory</x:v>
      </x:c>
      <x:c r="K38" s="52" t="str"/>
    </x:row>
    <x:row r="39">
      <x:c r="A39" s="51" t="str">
        <x:v>FR-BE-18</x:v>
      </x:c>
      <x:c r="B39" s="46" t="str">
        <x:v>Functional</x:v>
      </x:c>
      <x:c r="C39" s="46" t="str">
        <x:v>Backend</x:v>
      </x:c>
      <x:c r="D39" s="46" t="str">
        <x:v>Expose health, queue, scheduler and freshness data.</x:v>
      </x:c>
      <x:c r="E39" s="46" t="str">
        <x:v>High</x:v>
      </x:c>
      <x:c r="F39" s="46" t="str">
        <x:v>Backend Lead</x:v>
      </x:c>
      <x:c r="G39" s="46" t="str">
        <x:v>Design</x:v>
      </x:c>
      <x:c r="H39" s="46" t="str">
        <x:v>Not Started</x:v>
      </x:c>
      <x:c r="I39" s="46" t="str">
        <x:v>LNTB-SRS-001</x:v>
      </x:c>
      <x:c r="J39" s="46" t="str">
        <x:v>Mandatory</x:v>
      </x:c>
      <x:c r="K39" s="52" t="str"/>
    </x:row>
    <x:row r="40">
      <x:c r="A40" s="51" t="str">
        <x:v>FR-APP-01</x:v>
      </x:c>
      <x:c r="B40" s="46" t="str">
        <x:v>Functional</x:v>
      </x:c>
      <x:c r="C40" s="46" t="str">
        <x:v>Mobile</x:v>
      </x:c>
      <x:c r="D40" s="46" t="str">
        <x:v>Authenticate and securely persist/revoke token.</x:v>
      </x:c>
      <x:c r="E40" s="46" t="str">
        <x:v>High</x:v>
      </x:c>
      <x:c r="F40" s="46" t="str">
        <x:v>Mobile Lead</x:v>
      </x:c>
      <x:c r="G40" s="46" t="str">
        <x:v>Design</x:v>
      </x:c>
      <x:c r="H40" s="46" t="str">
        <x:v>Not Started</x:v>
      </x:c>
      <x:c r="I40" s="46" t="str">
        <x:v>LNTB-SRS-001</x:v>
      </x:c>
      <x:c r="J40" s="46" t="str">
        <x:v>Mandatory</x:v>
      </x:c>
      <x:c r="K40" s="52" t="str"/>
    </x:row>
    <x:row r="41">
      <x:c r="A41" s="51" t="str">
        <x:v>FR-APP-02</x:v>
      </x:c>
      <x:c r="B41" s="46" t="str">
        <x:v>Functional</x:v>
      </x:c>
      <x:c r="C41" s="46" t="str">
        <x:v>Mobile</x:v>
      </x:c>
      <x:c r="D41" s="46" t="str">
        <x:v>Display latest sensor values and freshness.</x:v>
      </x:c>
      <x:c r="E41" s="46" t="str">
        <x:v>High</x:v>
      </x:c>
      <x:c r="F41" s="46" t="str">
        <x:v>Mobile Lead</x:v>
      </x:c>
      <x:c r="G41" s="46" t="str">
        <x:v>Design</x:v>
      </x:c>
      <x:c r="H41" s="46" t="str">
        <x:v>Not Started</x:v>
      </x:c>
      <x:c r="I41" s="46" t="str">
        <x:v>LNTB-SRS-001</x:v>
      </x:c>
      <x:c r="J41" s="46" t="str">
        <x:v>Mandatory</x:v>
      </x:c>
      <x:c r="K41" s="52" t="str"/>
    </x:row>
    <x:row r="42">
      <x:c r="A42" s="51" t="str">
        <x:v>FR-APP-03</x:v>
      </x:c>
      <x:c r="B42" s="46" t="str">
        <x:v>Functional</x:v>
      </x:c>
      <x:c r="C42" s="46" t="str">
        <x:v>Mobile</x:v>
      </x:c>
      <x:c r="D42" s="46" t="str">
        <x:v>Use text, icon and color for status.</x:v>
      </x:c>
      <x:c r="E42" s="46" t="str">
        <x:v>High</x:v>
      </x:c>
      <x:c r="F42" s="46" t="str">
        <x:v>Mobile Lead</x:v>
      </x:c>
      <x:c r="G42" s="46" t="str">
        <x:v>Design</x:v>
      </x:c>
      <x:c r="H42" s="46" t="str">
        <x:v>Not Started</x:v>
      </x:c>
      <x:c r="I42" s="46" t="str">
        <x:v>LNTB-SRS-001</x:v>
      </x:c>
      <x:c r="J42" s="46" t="str">
        <x:v>Mandatory</x:v>
      </x:c>
      <x:c r="K42" s="52" t="str"/>
    </x:row>
    <x:row r="43">
      <x:c r="A43" s="51" t="str">
        <x:v>FR-APP-04</x:v>
      </x:c>
      <x:c r="B43" s="46" t="str">
        <x:v>Functional</x:v>
      </x:c>
      <x:c r="C43" s="46" t="str">
        <x:v>Mobile</x:v>
      </x:c>
      <x:c r="D43" s="46" t="str">
        <x:v>Allow confirmed manual irrigation control.</x:v>
      </x:c>
      <x:c r="E43" s="46" t="str">
        <x:v>High</x:v>
      </x:c>
      <x:c r="F43" s="46" t="str">
        <x:v>Mobile Lead</x:v>
      </x:c>
      <x:c r="G43" s="46" t="str">
        <x:v>Design</x:v>
      </x:c>
      <x:c r="H43" s="46" t="str">
        <x:v>Not Started</x:v>
      </x:c>
      <x:c r="I43" s="46" t="str">
        <x:v>LNTB-SRS-001</x:v>
      </x:c>
      <x:c r="J43" s="46" t="str">
        <x:v>Mandatory</x:v>
      </x:c>
      <x:c r="K43" s="52" t="str"/>
    </x:row>
    <x:row r="44">
      <x:c r="A44" s="51" t="str">
        <x:v>FR-APP-05</x:v>
      </x:c>
      <x:c r="B44" s="46" t="str">
        <x:v>Functional</x:v>
      </x:c>
      <x:c r="C44" s="46" t="str">
        <x:v>Mobile</x:v>
      </x:c>
      <x:c r="D44" s="46" t="str">
        <x:v>Display mode, current/last event and safety timeout.</x:v>
      </x:c>
      <x:c r="E44" s="46" t="str">
        <x:v>High</x:v>
      </x:c>
      <x:c r="F44" s="46" t="str">
        <x:v>Mobile Lead</x:v>
      </x:c>
      <x:c r="G44" s="46" t="str">
        <x:v>Design</x:v>
      </x:c>
      <x:c r="H44" s="46" t="str">
        <x:v>Not Started</x:v>
      </x:c>
      <x:c r="I44" s="46" t="str">
        <x:v>LNTB-SRS-001</x:v>
      </x:c>
      <x:c r="J44" s="46" t="str">
        <x:v>Mandatory</x:v>
      </x:c>
      <x:c r="K44" s="52" t="str"/>
    </x:row>
    <x:row r="45">
      <x:c r="A45" s="51" t="str">
        <x:v>FR-APP-06</x:v>
      </x:c>
      <x:c r="B45" s="46" t="str">
        <x:v>Functional</x:v>
      </x:c>
      <x:c r="C45" s="46" t="str">
        <x:v>Mobile</x:v>
      </x:c>
      <x:c r="D45" s="46" t="str">
        <x:v>Display image, class, confidence and review guidance.</x:v>
      </x:c>
      <x:c r="E45" s="46" t="str">
        <x:v>High</x:v>
      </x:c>
      <x:c r="F45" s="46" t="str">
        <x:v>Mobile Lead</x:v>
      </x:c>
      <x:c r="G45" s="46" t="str">
        <x:v>Design</x:v>
      </x:c>
      <x:c r="H45" s="46" t="str">
        <x:v>Not Started</x:v>
      </x:c>
      <x:c r="I45" s="46" t="str">
        <x:v>LNTB-SRS-001</x:v>
      </x:c>
      <x:c r="J45" s="46" t="str">
        <x:v>Mandatory</x:v>
      </x:c>
      <x:c r="K45" s="52" t="str"/>
    </x:row>
    <x:row r="46">
      <x:c r="A46" s="51" t="str">
        <x:v>FR-APP-07</x:v>
      </x:c>
      <x:c r="B46" s="46" t="str">
        <x:v>Functional</x:v>
      </x:c>
      <x:c r="C46" s="46" t="str">
        <x:v>Mobile</x:v>
      </x:c>
      <x:c r="D46" s="46" t="str">
        <x:v>Display water, energy and cost with source badge.</x:v>
      </x:c>
      <x:c r="E46" s="46" t="str">
        <x:v>High</x:v>
      </x:c>
      <x:c r="F46" s="46" t="str">
        <x:v>Mobile Lead</x:v>
      </x:c>
      <x:c r="G46" s="46" t="str">
        <x:v>Design</x:v>
      </x:c>
      <x:c r="H46" s="46" t="str">
        <x:v>Not Started</x:v>
      </x:c>
      <x:c r="I46" s="46" t="str">
        <x:v>LNTB-SRS-001</x:v>
      </x:c>
      <x:c r="J46" s="46" t="str">
        <x:v>Mandatory</x:v>
      </x:c>
      <x:c r="K46" s="52" t="str"/>
    </x:row>
    <x:row r="47">
      <x:c r="A47" s="51" t="str">
        <x:v>FR-APP-08</x:v>
      </x:c>
      <x:c r="B47" s="46" t="str">
        <x:v>Functional</x:v>
      </x:c>
      <x:c r="C47" s="46" t="str">
        <x:v>Mobile</x:v>
      </x:c>
      <x:c r="D47" s="46" t="str">
        <x:v>Provide filterable paginated digital logbook.</x:v>
      </x:c>
      <x:c r="E47" s="46" t="str">
        <x:v>High</x:v>
      </x:c>
      <x:c r="F47" s="46" t="str">
        <x:v>Mobile Lead</x:v>
      </x:c>
      <x:c r="G47" s="46" t="str">
        <x:v>Design</x:v>
      </x:c>
      <x:c r="H47" s="46" t="str">
        <x:v>Not Started</x:v>
      </x:c>
      <x:c r="I47" s="46" t="str">
        <x:v>LNTB-SRS-001</x:v>
      </x:c>
      <x:c r="J47" s="46" t="str">
        <x:v>Mandatory</x:v>
      </x:c>
      <x:c r="K47" s="52" t="str"/>
    </x:row>
    <x:row r="48">
      <x:c r="A48" s="51" t="str">
        <x:v>FR-APP-09</x:v>
      </x:c>
      <x:c r="B48" s="46" t="str">
        <x:v>Functional</x:v>
      </x:c>
      <x:c r="C48" s="46" t="str">
        <x:v>Mobile</x:v>
      </x:c>
      <x:c r="D48" s="46" t="str">
        <x:v>Receive alerts and deep-link to destination.</x:v>
      </x:c>
      <x:c r="E48" s="46" t="str">
        <x:v>High</x:v>
      </x:c>
      <x:c r="F48" s="46" t="str">
        <x:v>Mobile Lead</x:v>
      </x:c>
      <x:c r="G48" s="46" t="str">
        <x:v>Design</x:v>
      </x:c>
      <x:c r="H48" s="46" t="str">
        <x:v>Not Started</x:v>
      </x:c>
      <x:c r="I48" s="46" t="str">
        <x:v>LNTB-SRS-001</x:v>
      </x:c>
      <x:c r="J48" s="46" t="str">
        <x:v>Mandatory</x:v>
      </x:c>
      <x:c r="K48" s="52" t="str"/>
    </x:row>
    <x:row r="49">
      <x:c r="A49" s="51" t="str">
        <x:v>FR-APP-10</x:v>
      </x:c>
      <x:c r="B49" s="46" t="str">
        <x:v>Functional</x:v>
      </x:c>
      <x:c r="C49" s="46" t="str">
        <x:v>Mobile</x:v>
      </x:c>
      <x:c r="D49" s="46" t="str">
        <x:v>Use Khmer localization resources for all UI text.</x:v>
      </x:c>
      <x:c r="E49" s="46" t="str">
        <x:v>High</x:v>
      </x:c>
      <x:c r="F49" s="46" t="str">
        <x:v>Mobile Lead</x:v>
      </x:c>
      <x:c r="G49" s="46" t="str">
        <x:v>Design</x:v>
      </x:c>
      <x:c r="H49" s="46" t="str">
        <x:v>Not Started</x:v>
      </x:c>
      <x:c r="I49" s="46" t="str">
        <x:v>LNTB-SRS-001</x:v>
      </x:c>
      <x:c r="J49" s="46" t="str">
        <x:v>Mandatory</x:v>
      </x:c>
      <x:c r="K49" s="52" t="str"/>
    </x:row>
    <x:row r="50">
      <x:c r="A50" s="51" t="str">
        <x:v>FR-APP-11</x:v>
      </x:c>
      <x:c r="B50" s="46" t="str">
        <x:v>Functional</x:v>
      </x:c>
      <x:c r="C50" s="46" t="str">
        <x:v>Mobile</x:v>
      </x:c>
      <x:c r="D50" s="46" t="str">
        <x:v>Operate on supported low-end Android.</x:v>
      </x:c>
      <x:c r="E50" s="46" t="str">
        <x:v>High</x:v>
      </x:c>
      <x:c r="F50" s="46" t="str">
        <x:v>Mobile Lead</x:v>
      </x:c>
      <x:c r="G50" s="46" t="str">
        <x:v>Design</x:v>
      </x:c>
      <x:c r="H50" s="46" t="str">
        <x:v>Not Started</x:v>
      </x:c>
      <x:c r="I50" s="46" t="str">
        <x:v>LNTB-SRS-001</x:v>
      </x:c>
      <x:c r="J50" s="46" t="str">
        <x:v>Mandatory</x:v>
      </x:c>
      <x:c r="K50" s="52" t="str"/>
    </x:row>
    <x:row r="51">
      <x:c r="A51" s="51" t="str">
        <x:v>FR-APP-12</x:v>
      </x:c>
      <x:c r="B51" s="46" t="str">
        <x:v>Functional</x:v>
      </x:c>
      <x:c r="C51" s="46" t="str">
        <x:v>Mobile</x:v>
      </x:c>
      <x:c r="D51" s="46" t="str">
        <x:v>Cache last-known state and retry safely.</x:v>
      </x:c>
      <x:c r="E51" s="46" t="str">
        <x:v>High</x:v>
      </x:c>
      <x:c r="F51" s="46" t="str">
        <x:v>Mobile Lead</x:v>
      </x:c>
      <x:c r="G51" s="46" t="str">
        <x:v>Design</x:v>
      </x:c>
      <x:c r="H51" s="46" t="str">
        <x:v>Not Started</x:v>
      </x:c>
      <x:c r="I51" s="46" t="str">
        <x:v>LNTB-SRS-001</x:v>
      </x:c>
      <x:c r="J51" s="46" t="str">
        <x:v>Mandatory</x:v>
      </x:c>
      <x:c r="K51" s="52" t="str"/>
    </x:row>
    <x:row r="52">
      <x:c r="A52" s="51" t="str">
        <x:v>FR-APP-13</x:v>
      </x:c>
      <x:c r="B52" s="46" t="str">
        <x:v>Functional</x:v>
      </x:c>
      <x:c r="C52" s="46" t="str">
        <x:v>Mobile</x:v>
      </x:c>
      <x:c r="D52" s="46" t="str">
        <x:v>Provide authorized settings for thresholds/tariffs/preferences.</x:v>
      </x:c>
      <x:c r="E52" s="46" t="str">
        <x:v>High</x:v>
      </x:c>
      <x:c r="F52" s="46" t="str">
        <x:v>Mobile Lead</x:v>
      </x:c>
      <x:c r="G52" s="46" t="str">
        <x:v>Design</x:v>
      </x:c>
      <x:c r="H52" s="46" t="str">
        <x:v>Not Started</x:v>
      </x:c>
      <x:c r="I52" s="46" t="str">
        <x:v>LNTB-SRS-001</x:v>
      </x:c>
      <x:c r="J52" s="46" t="str">
        <x:v>Mandatory</x:v>
      </x:c>
      <x:c r="K52" s="52" t="str"/>
    </x:row>
    <x:row r="53">
      <x:c r="A53" s="51" t="str">
        <x:v>FR-APP-14</x:v>
      </x:c>
      <x:c r="B53" s="46" t="str">
        <x:v>Functional</x:v>
      </x:c>
      <x:c r="C53" s="46" t="str">
        <x:v>Mobile</x:v>
      </x:c>
      <x:c r="D53" s="46" t="str">
        <x:v>Show offline, stale, syncing and pending states.</x:v>
      </x:c>
      <x:c r="E53" s="46" t="str">
        <x:v>High</x:v>
      </x:c>
      <x:c r="F53" s="46" t="str">
        <x:v>Mobile Lead</x:v>
      </x:c>
      <x:c r="G53" s="46" t="str">
        <x:v>Design</x:v>
      </x:c>
      <x:c r="H53" s="46" t="str">
        <x:v>Not Started</x:v>
      </x:c>
      <x:c r="I53" s="46" t="str">
        <x:v>LNTB-SRS-001</x:v>
      </x:c>
      <x:c r="J53" s="46" t="str">
        <x:v>Mandatory</x:v>
      </x:c>
      <x:c r="K53" s="52" t="str"/>
    </x:row>
    <x:row r="54">
      <x:c r="A54" s="51" t="str">
        <x:v>FR-APP-15</x:v>
      </x:c>
      <x:c r="B54" s="46" t="str">
        <x:v>Functional</x:v>
      </x:c>
      <x:c r="C54" s="46" t="str">
        <x:v>Mobile</x:v>
      </x:c>
      <x:c r="D54" s="46" t="str">
        <x:v>Provide accessible sign-out/token revocation.</x:v>
      </x:c>
      <x:c r="E54" s="46" t="str">
        <x:v>High</x:v>
      </x:c>
      <x:c r="F54" s="46" t="str">
        <x:v>Mobile Lead</x:v>
      </x:c>
      <x:c r="G54" s="46" t="str">
        <x:v>Design</x:v>
      </x:c>
      <x:c r="H54" s="46" t="str">
        <x:v>Not Started</x:v>
      </x:c>
      <x:c r="I54" s="46" t="str">
        <x:v>LNTB-SRS-001</x:v>
      </x:c>
      <x:c r="J54" s="46" t="str">
        <x:v>Mandatory</x:v>
      </x:c>
      <x:c r="K54" s="52" t="str"/>
    </x:row>
    <x:row r="55">
      <x:c r="A55" s="51" t="str">
        <x:v>NFR-01</x:v>
      </x:c>
      <x:c r="B55" s="46" t="str">
        <x:v>Non-Functional</x:v>
      </x:c>
      <x:c r="C55" s="46" t="str">
        <x:v>Cross-cutting</x:v>
      </x:c>
      <x:c r="D55" s="46" t="str">
        <x:v>Status identified within 5s after training.</x:v>
      </x:c>
      <x:c r="E55" s="46" t="str">
        <x:v>High</x:v>
      </x:c>
      <x:c r="F55" s="46" t="str">
        <x:v>Technical Lead</x:v>
      </x:c>
      <x:c r="G55" s="46" t="str">
        <x:v>Design</x:v>
      </x:c>
      <x:c r="H55" s="46" t="str">
        <x:v>Not Started</x:v>
      </x:c>
      <x:c r="I55" s="46" t="str">
        <x:v>LNTB-SRS-001</x:v>
      </x:c>
      <x:c r="J55" s="46" t="str">
        <x:v>Mandatory</x:v>
      </x:c>
      <x:c r="K55" s="52" t="str">
        <x:v>Usability</x:v>
      </x:c>
    </x:row>
    <x:row r="56">
      <x:c r="A56" s="51" t="str">
        <x:v>NFR-02</x:v>
      </x:c>
      <x:c r="B56" s="46" t="str">
        <x:v>Non-Functional</x:v>
      </x:c>
      <x:c r="C56" s="46" t="str">
        <x:v>Cross-cutting</x:v>
      </x:c>
      <x:c r="D56" s="46" t="str">
        <x:v>95% of online telemetry visible within 5s.</x:v>
      </x:c>
      <x:c r="E56" s="46" t="str">
        <x:v>High</x:v>
      </x:c>
      <x:c r="F56" s="46" t="str">
        <x:v>Technical Lead</x:v>
      </x:c>
      <x:c r="G56" s="46" t="str">
        <x:v>Design</x:v>
      </x:c>
      <x:c r="H56" s="46" t="str">
        <x:v>Not Started</x:v>
      </x:c>
      <x:c r="I56" s="46" t="str">
        <x:v>LNTB-SRS-001</x:v>
      </x:c>
      <x:c r="J56" s="46" t="str">
        <x:v>Mandatory</x:v>
      </x:c>
      <x:c r="K56" s="52" t="str">
        <x:v>Performance</x:v>
      </x:c>
    </x:row>
    <x:row r="57">
      <x:c r="A57" s="51" t="str">
        <x:v>NFR-03</x:v>
      </x:c>
      <x:c r="B57" s="46" t="str">
        <x:v>Non-Functional</x:v>
      </x:c>
      <x:c r="C57" s="46" t="str">
        <x:v>Cross-cutting</x:v>
      </x:c>
      <x:c r="D57" s="46" t="str">
        <x:v>Basic safe irrigation continues offline.</x:v>
      </x:c>
      <x:c r="E57" s="46" t="str">
        <x:v>High</x:v>
      </x:c>
      <x:c r="F57" s="46" t="str">
        <x:v>Technical Lead</x:v>
      </x:c>
      <x:c r="G57" s="46" t="str">
        <x:v>Design</x:v>
      </x:c>
      <x:c r="H57" s="46" t="str">
        <x:v>Not Started</x:v>
      </x:c>
      <x:c r="I57" s="46" t="str">
        <x:v>LNTB-SRS-001</x:v>
      </x:c>
      <x:c r="J57" s="46" t="str">
        <x:v>Mandatory</x:v>
      </x:c>
      <x:c r="K57" s="52" t="str">
        <x:v>Reliability</x:v>
      </x:c>
    </x:row>
    <x:row r="58">
      <x:c r="A58" s="51" t="str">
        <x:v>NFR-04</x:v>
      </x:c>
      <x:c r="B58" s="46" t="str">
        <x:v>Non-Functional</x:v>
      </x:c>
      <x:c r="C58" s="46" t="str">
        <x:v>Cross-cutting</x:v>
      </x:c>
      <x:c r="D58" s="46" t="str">
        <x:v>Pilot services monitored/restored under RTO.</x:v>
      </x:c>
      <x:c r="E58" s="46" t="str">
        <x:v>High</x:v>
      </x:c>
      <x:c r="F58" s="46" t="str">
        <x:v>Technical Lead</x:v>
      </x:c>
      <x:c r="G58" s="46" t="str">
        <x:v>Design</x:v>
      </x:c>
      <x:c r="H58" s="46" t="str">
        <x:v>Not Started</x:v>
      </x:c>
      <x:c r="I58" s="46" t="str">
        <x:v>LNTB-SRS-001</x:v>
      </x:c>
      <x:c r="J58" s="46" t="str">
        <x:v>Mandatory</x:v>
      </x:c>
      <x:c r="K58" s="52" t="str">
        <x:v>Availability</x:v>
      </x:c>
    </x:row>
    <x:row r="59">
      <x:c r="A59" s="51" t="str">
        <x:v>NFR-05</x:v>
      </x:c>
      <x:c r="B59" s="46" t="str">
        <x:v>Non-Functional</x:v>
      </x:c>
      <x:c r="C59" s="46" t="str">
        <x:v>Cross-cutting</x:v>
      </x:c>
      <x:c r="D59" s="46" t="str">
        <x:v>TLS, separate revocable credentials and least privilege.</x:v>
      </x:c>
      <x:c r="E59" s="46" t="str">
        <x:v>Critical</x:v>
      </x:c>
      <x:c r="F59" s="46" t="str">
        <x:v>Technical Lead</x:v>
      </x:c>
      <x:c r="G59" s="46" t="str">
        <x:v>Design</x:v>
      </x:c>
      <x:c r="H59" s="46" t="str">
        <x:v>Not Started</x:v>
      </x:c>
      <x:c r="I59" s="46" t="str">
        <x:v>LNTB-SRS-001</x:v>
      </x:c>
      <x:c r="J59" s="46" t="str">
        <x:v>Mandatory</x:v>
      </x:c>
      <x:c r="K59" s="52" t="str">
        <x:v>Security</x:v>
      </x:c>
    </x:row>
    <x:row r="60">
      <x:c r="A60" s="51" t="str">
        <x:v>NFR-06</x:v>
      </x:c>
      <x:c r="B60" s="46" t="str">
        <x:v>Non-Functional</x:v>
      </x:c>
      <x:c r="C60" s="46" t="str">
        <x:v>Cross-cutting</x:v>
      </x:c>
      <x:c r="D60" s="46" t="str">
        <x:v>Support multiple farms/devices without schema redesign.</x:v>
      </x:c>
      <x:c r="E60" s="46" t="str">
        <x:v>High</x:v>
      </x:c>
      <x:c r="F60" s="46" t="str">
        <x:v>Technical Lead</x:v>
      </x:c>
      <x:c r="G60" s="46" t="str">
        <x:v>Design</x:v>
      </x:c>
      <x:c r="H60" s="46" t="str">
        <x:v>Not Started</x:v>
      </x:c>
      <x:c r="I60" s="46" t="str">
        <x:v>LNTB-SRS-001</x:v>
      </x:c>
      <x:c r="J60" s="46" t="str">
        <x:v>Mandatory</x:v>
      </x:c>
      <x:c r="K60" s="52" t="str">
        <x:v>Scalability</x:v>
      </x:c>
    </x:row>
    <x:row r="61">
      <x:c r="A61" s="51" t="str">
        <x:v>NFR-07</x:v>
      </x:c>
      <x:c r="B61" s="46" t="str">
        <x:v>Non-Functional</x:v>
      </x:c>
      <x:c r="C61" s="46" t="str">
        <x:v>Cross-cutting</x:v>
      </x:c>
      <x:c r="D61" s="46" t="str">
        <x:v>Khmer ARB resources and localization review.</x:v>
      </x:c>
      <x:c r="E61" s="46" t="str">
        <x:v>High</x:v>
      </x:c>
      <x:c r="F61" s="46" t="str">
        <x:v>Technical Lead</x:v>
      </x:c>
      <x:c r="G61" s="46" t="str">
        <x:v>Design</x:v>
      </x:c>
      <x:c r="H61" s="46" t="str">
        <x:v>Not Started</x:v>
      </x:c>
      <x:c r="I61" s="46" t="str">
        <x:v>LNTB-SRS-001</x:v>
      </x:c>
      <x:c r="J61" s="46" t="str">
        <x:v>Mandatory</x:v>
      </x:c>
      <x:c r="K61" s="52" t="str">
        <x:v>Localization</x:v>
      </x:c>
    </x:row>
    <x:row r="62">
      <x:c r="A62" s="51" t="str">
        <x:v>NFR-08</x:v>
      </x:c>
      <x:c r="B62" s="46" t="str">
        <x:v>Non-Functional</x:v>
      </x:c>
      <x:c r="C62" s="46" t="str">
        <x:v>Cross-cutting</x:v>
      </x:c>
      <x:c r="D62" s="46" t="str">
        <x:v>Revised BOM requires sponsor-approved baseline.</x:v>
      </x:c>
      <x:c r="E62" s="46" t="str">
        <x:v>High</x:v>
      </x:c>
      <x:c r="F62" s="46" t="str">
        <x:v>Technical Lead</x:v>
      </x:c>
      <x:c r="G62" s="46" t="str">
        <x:v>Design</x:v>
      </x:c>
      <x:c r="H62" s="46" t="str">
        <x:v>Not Started</x:v>
      </x:c>
      <x:c r="I62" s="46" t="str">
        <x:v>LNTB-SRS-001</x:v>
      </x:c>
      <x:c r="J62" s="46" t="str">
        <x:v>Mandatory</x:v>
      </x:c>
      <x:c r="K62" s="52" t="str">
        <x:v>Cost</x:v>
      </x:c>
    </x:row>
    <x:row r="63">
      <x:c r="A63" s="51" t="str">
        <x:v>NFR-09</x:v>
      </x:c>
      <x:c r="B63" s="46" t="str">
        <x:v>Non-Functional</x:v>
      </x:c>
      <x:c r="C63" s="46" t="str">
        <x:v>Cross-cutting</x:v>
      </x:c>
      <x:c r="D63" s="46" t="str">
        <x:v>Modular, documented and tested components.</x:v>
      </x:c>
      <x:c r="E63" s="46" t="str">
        <x:v>High</x:v>
      </x:c>
      <x:c r="F63" s="46" t="str">
        <x:v>Technical Lead</x:v>
      </x:c>
      <x:c r="G63" s="46" t="str">
        <x:v>Design</x:v>
      </x:c>
      <x:c r="H63" s="46" t="str">
        <x:v>Not Started</x:v>
      </x:c>
      <x:c r="I63" s="46" t="str">
        <x:v>LNTB-SRS-001</x:v>
      </x:c>
      <x:c r="J63" s="46" t="str">
        <x:v>Mandatory</x:v>
      </x:c>
      <x:c r="K63" s="52" t="str">
        <x:v>Maintainability</x:v>
      </x:c>
    </x:row>
    <x:row r="64">
      <x:c r="A64" s="51" t="str">
        <x:v>NFR-10</x:v>
      </x:c>
      <x:c r="B64" s="46" t="str">
        <x:v>Non-Functional</x:v>
      </x:c>
      <x:c r="C64" s="46" t="str">
        <x:v>Cross-cutting</x:v>
      </x:c>
      <x:c r="D64" s="46" t="str">
        <x:v>Retrieve records for at least one growing season.</x:v>
      </x:c>
      <x:c r="E64" s="46" t="str">
        <x:v>High</x:v>
      </x:c>
      <x:c r="F64" s="46" t="str">
        <x:v>Technical Lead</x:v>
      </x:c>
      <x:c r="G64" s="46" t="str">
        <x:v>Design</x:v>
      </x:c>
      <x:c r="H64" s="46" t="str">
        <x:v>Not Started</x:v>
      </x:c>
      <x:c r="I64" s="46" t="str">
        <x:v>LNTB-SRS-001</x:v>
      </x:c>
      <x:c r="J64" s="46" t="str">
        <x:v>Mandatory</x:v>
      </x:c>
      <x:c r="K64" s="52" t="str">
        <x:v>Retention</x:v>
      </x:c>
    </x:row>
    <x:row r="65">
      <x:c r="A65" s="51" t="str">
        <x:v>NFR-11</x:v>
      </x:c>
      <x:c r="B65" s="46" t="str">
        <x:v>Non-Functional</x:v>
      </x:c>
      <x:c r="C65" s="46" t="str">
        <x:v>Cross-cutting</x:v>
      </x:c>
      <x:c r="D65" s="46" t="str">
        <x:v>Flow and energy target ±5% under pilot conditions.</x:v>
      </x:c>
      <x:c r="E65" s="46" t="str">
        <x:v>High</x:v>
      </x:c>
      <x:c r="F65" s="46" t="str">
        <x:v>IoT Lead</x:v>
      </x:c>
      <x:c r="G65" s="46" t="str">
        <x:v>Design</x:v>
      </x:c>
      <x:c r="H65" s="46" t="str">
        <x:v>Not Started</x:v>
      </x:c>
      <x:c r="I65" s="46" t="str">
        <x:v>LNTB-SRS-001</x:v>
      </x:c>
      <x:c r="J65" s="46" t="str">
        <x:v>Mandatory</x:v>
      </x:c>
      <x:c r="K65" s="52" t="str">
        <x:v>Measurement</x:v>
      </x:c>
    </x:row>
    <x:row r="66">
      <x:c r="A66" s="51" t="str">
        <x:v>NFR-12</x:v>
      </x:c>
      <x:c r="B66" s="46" t="str">
        <x:v>Non-Functional</x:v>
      </x:c>
      <x:c r="C66" s="46" t="str">
        <x:v>Cross-cutting</x:v>
      </x:c>
      <x:c r="D66" s="46" t="str">
        <x:v>Target ≥85% macro F1 on held-out representative set.</x:v>
      </x:c>
      <x:c r="E66" s="46" t="str">
        <x:v>High</x:v>
      </x:c>
      <x:c r="F66" s="46" t="str">
        <x:v>AI Lead</x:v>
      </x:c>
      <x:c r="G66" s="46" t="str">
        <x:v>Design</x:v>
      </x:c>
      <x:c r="H66" s="46" t="str">
        <x:v>Not Started</x:v>
      </x:c>
      <x:c r="I66" s="46" t="str">
        <x:v>LNTB-SRS-001</x:v>
      </x:c>
      <x:c r="J66" s="46" t="str">
        <x:v>Mandatory</x:v>
      </x:c>
      <x:c r="K66" s="52" t="str">
        <x:v>AI Quality</x:v>
      </x:c>
    </x:row>
    <x:row r="67">
      <x:c r="A67" s="51" t="str">
        <x:v>NFR-13</x:v>
      </x:c>
      <x:c r="B67" s="46" t="str">
        <x:v>Non-Functional</x:v>
      </x:c>
      <x:c r="C67" s="46" t="str">
        <x:v>Cross-cutting</x:v>
      </x:c>
      <x:c r="D67" s="46" t="str">
        <x:v>Pump fail-off, max runtime and manual isolation.</x:v>
      </x:c>
      <x:c r="E67" s="46" t="str">
        <x:v>Critical</x:v>
      </x:c>
      <x:c r="F67" s="46" t="str">
        <x:v>Technical Lead</x:v>
      </x:c>
      <x:c r="G67" s="46" t="str">
        <x:v>Design</x:v>
      </x:c>
      <x:c r="H67" s="46" t="str">
        <x:v>Not Started</x:v>
      </x:c>
      <x:c r="I67" s="46" t="str">
        <x:v>LNTB-SRS-001</x:v>
      </x:c>
      <x:c r="J67" s="46" t="str">
        <x:v>Mandatory</x:v>
      </x:c>
      <x:c r="K67" s="52" t="str">
        <x:v>Safety</x:v>
      </x:c>
    </x:row>
    <x:row r="68">
      <x:c r="A68" s="51" t="str">
        <x:v>NFR-14</x:v>
      </x:c>
      <x:c r="B68" s="46" t="str">
        <x:v>Non-Functional</x:v>
      </x:c>
      <x:c r="C68" s="46" t="str">
        <x:v>Cross-cutting</x:v>
      </x:c>
      <x:c r="D68" s="46" t="str">
        <x:v>Pilot RPO 24h and RTO 4h.</x:v>
      </x:c>
      <x:c r="E68" s="46" t="str">
        <x:v>Critical</x:v>
      </x:c>
      <x:c r="F68" s="46" t="str">
        <x:v>Technical Lead</x:v>
      </x:c>
      <x:c r="G68" s="46" t="str">
        <x:v>Design</x:v>
      </x:c>
      <x:c r="H68" s="46" t="str">
        <x:v>Not Started</x:v>
      </x:c>
      <x:c r="I68" s="46" t="str">
        <x:v>LNTB-SRS-001</x:v>
      </x:c>
      <x:c r="J68" s="46" t="str">
        <x:v>Mandatory</x:v>
      </x:c>
      <x:c r="K68" s="52" t="str">
        <x:v>Continuity</x:v>
      </x:c>
    </x:row>
    <x:row r="69">
      <x:c r="A69" s="51" t="str">
        <x:v>NFR-15</x:v>
      </x:c>
      <x:c r="B69" s="46" t="str">
        <x:v>Non-Functional</x:v>
      </x:c>
      <x:c r="C69" s="46" t="str">
        <x:v>Cross-cutting</x:v>
      </x:c>
      <x:c r="D69" s="46" t="str">
        <x:v>Scalable text, semantics, targets and non-color cues.</x:v>
      </x:c>
      <x:c r="E69" s="46" t="str">
        <x:v>High</x:v>
      </x:c>
      <x:c r="F69" s="46" t="str">
        <x:v>UX Lead</x:v>
      </x:c>
      <x:c r="G69" s="46" t="str">
        <x:v>Design</x:v>
      </x:c>
      <x:c r="H69" s="46" t="str">
        <x:v>Not Started</x:v>
      </x:c>
      <x:c r="I69" s="46" t="str">
        <x:v>LNTB-SRS-001</x:v>
      </x:c>
      <x:c r="J69" s="46" t="str">
        <x:v>Mandatory</x:v>
      </x:c>
      <x:c r="K69" s="52" t="str">
        <x:v>Accessibility</x:v>
      </x:c>
    </x:row>
    <x:row r="70">
      <x:c r="A70" s="51" t="str">
        <x:v>NFR-16</x:v>
      </x:c>
      <x:c r="B70" s="46" t="str">
        <x:v>Non-Functional</x:v>
      </x:c>
      <x:c r="C70" s="46" t="str">
        <x:v>Cross-cutting</x:v>
      </x:c>
      <x:c r="D70" s="46" t="str">
        <x:v>Structured logs, correlation IDs, health and metrics.</x:v>
      </x:c>
      <x:c r="E70" s="46" t="str">
        <x:v>High</x:v>
      </x:c>
      <x:c r="F70" s="46" t="str">
        <x:v>Technical Lead</x:v>
      </x:c>
      <x:c r="G70" s="46" t="str">
        <x:v>Design</x:v>
      </x:c>
      <x:c r="H70" s="46" t="str">
        <x:v>Not Started</x:v>
      </x:c>
      <x:c r="I70" s="46" t="str">
        <x:v>LNTB-SRS-001</x:v>
      </x:c>
      <x:c r="J70" s="46" t="str">
        <x:v>Mandatory</x:v>
      </x:c>
      <x:c r="K70" s="52" t="str">
        <x:v>Observability</x:v>
      </x:c>
    </x:row>
    <x:row r="71">
      <x:c r="A71" s="53" t="str">
        <x:v>NFR-17</x:v>
      </x:c>
      <x:c r="B71" s="54" t="str">
        <x:v>Non-Functional</x:v>
      </x:c>
      <x:c r="C71" s="54" t="str">
        <x:v>Cross-cutting</x:v>
      </x:c>
      <x:c r="D71" s="54" t="str">
        <x:v>Minimize/protect/delete personal and image data.</x:v>
      </x:c>
      <x:c r="E71" s="54" t="str">
        <x:v>High</x:v>
      </x:c>
      <x:c r="F71" s="54" t="str">
        <x:v>Technical Lead</x:v>
      </x:c>
      <x:c r="G71" s="54" t="str">
        <x:v>Design</x:v>
      </x:c>
      <x:c r="H71" s="54" t="str">
        <x:v>Not Started</x:v>
      </x:c>
      <x:c r="I71" s="54" t="str">
        <x:v>LNTB-SRS-001</x:v>
      </x:c>
      <x:c r="J71" s="54" t="str">
        <x:v>Mandatory</x:v>
      </x:c>
      <x:c r="K71" s="55" t="str">
        <x:v>Privacy</x:v>
      </x:c>
    </x:row>
  </x:sheetData>
  <x:mergeCells>
    <x:mergeCell ref="A1:K1"/>
    <x:mergeCell ref="A2:K2"/>
  </x:mergeCells>
  <x:conditionalFormatting sqref="H5:H71">
    <x:cfRule type="expression" dxfId="0" priority="1">
      <x:formula>H5="Complete"</x:formula>
    </x:cfRule>
    <x:cfRule type="expression" dxfId="1" priority="2">
      <x:formula>H5="In Progress"</x:formula>
    </x:cfRule>
    <x:cfRule type="expression" dxfId="2" priority="3">
      <x:formula>H5="Blocked"</x:formula>
    </x:cfRule>
    <x:cfRule type="expression" dxfId="3" priority="4">
      <x:formula>H5="Not Started"</x:formula>
    </x:cfRule>
  </x:conditionalFormatting>
  <x:conditionalFormatting sqref="E5:E71">
    <x:cfRule type="expression" dxfId="4" priority="5">
      <x:formula>E5="Critical"</x:formula>
    </x:cfRule>
  </x:conditionalFormatting>
  <x:dataValidations count="2">
    <x:dataValidation type="list" sqref="E5:E71">
      <x:formula1>"Critical,High,Medium,Low"</x:formula1>
    </x:dataValidation>
    <x:dataValidation type="list" sqref="H5:H71">
      <x:formula1>"Not Started,In Progress,Complete,Blocked,Deferred"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372b4b54d24de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30" hidden="0" customWidth="1"/>
    <x:col min="4" max="4" width="25" hidden="0" customWidth="1"/>
    <x:col min="5" max="5" width="24" hidden="0" customWidth="1"/>
    <x:col min="6" max="6" width="18" hidden="0" customWidth="1"/>
    <x:col min="7" max="7" width="28" hidden="0" customWidth="1"/>
    <x:col min="8" max="8" width="16" hidden="0" customWidth="1"/>
  </x:cols>
  <x:sheetData>
    <x:row r="1" ht="30" customHeight="1">
      <x:c r="A1" s="33" t="str">
        <x:v>Requirements Traceability Matrix</x:v>
      </x:c>
      <x:c r="B1" s="33"/>
      <x:c r="C1" s="33"/>
      <x:c r="D1" s="33"/>
      <x:c r="E1" s="33"/>
      <x:c r="F1" s="33"/>
      <x:c r="G1" s="33"/>
      <x:c r="H1" s="33"/>
      <x:c r="I1" s="33"/>
      <x:c r="J1" s="33"/>
    </x:row>
    <x:row r="2" ht="38" customHeight="1">
      <x:c r="A2" s="40" t="str">
        <x:v>Links every requirement to design, implementation module, test and acceptance evidence.</x:v>
      </x:c>
      <x:c r="B2" s="40"/>
      <x:c r="C2" s="40"/>
      <x:c r="D2" s="40"/>
      <x:c r="E2" s="40"/>
      <x:c r="F2" s="40"/>
      <x:c r="G2" s="40"/>
      <x:c r="H2" s="40"/>
      <x:c r="I2" s="40"/>
      <x:c r="J2" s="40"/>
    </x:row>
    <x:row r="4" ht="30" customHeight="1">
      <x:c r="A4" s="13" t="str">
        <x:v>Requirement ID</x:v>
      </x:c>
      <x:c r="B4" s="14" t="str">
        <x:v>Module</x:v>
      </x:c>
      <x:c r="C4" s="14" t="str">
        <x:v>Design Document</x:v>
      </x:c>
      <x:c r="D4" s="14" t="str">
        <x:v>Implementation Area</x:v>
      </x:c>
      <x:c r="E4" s="14" t="str">
        <x:v>Test Case(s)</x:v>
      </x:c>
      <x:c r="F4" s="14" t="str">
        <x:v>Verification Result</x:v>
      </x:c>
      <x:c r="G4" s="14" t="str">
        <x:v>Acceptance Evidence</x:v>
      </x:c>
      <x:c r="H4" s="15" t="str">
        <x:v>Trace Status</x:v>
      </x:c>
    </x:row>
    <x:row r="5">
      <x:c r="A5" s="48" t="str">
        <x:v>FR-HW-01</x:v>
      </x:c>
      <x:c r="B5" s="49" t="str">
        <x:v>Firmware</x:v>
      </x:c>
      <x:c r="C5" s="49" t="str">
        <x:v>LNTB-HFA-001</x:v>
      </x:c>
      <x:c r="D5" s="49" t="str">
        <x:v>firmware/</x:v>
      </x:c>
      <x:c r="E5" s="49" t="str">
        <x:v>TBD</x:v>
      </x:c>
      <x:c r="F5" s="49" t="str">
        <x:v>Pending</x:v>
      </x:c>
      <x:c r="G5" s="49" t="str"/>
      <x:c r="H5" s="50" t="str">
        <x:v>Not Started</x:v>
      </x:c>
    </x:row>
    <x:row r="6">
      <x:c r="A6" s="51" t="str">
        <x:v>FR-HW-02</x:v>
      </x:c>
      <x:c r="B6" s="46" t="str">
        <x:v>Firmware</x:v>
      </x:c>
      <x:c r="C6" s="46" t="str">
        <x:v>LNTB-HFA-001</x:v>
      </x:c>
      <x:c r="D6" s="46" t="str">
        <x:v>firmware/</x:v>
      </x:c>
      <x:c r="E6" s="46" t="str">
        <x:v>TBD</x:v>
      </x:c>
      <x:c r="F6" s="46" t="str">
        <x:v>Pending</x:v>
      </x:c>
      <x:c r="G6" s="46" t="str"/>
      <x:c r="H6" s="52" t="str">
        <x:v>Not Started</x:v>
      </x:c>
    </x:row>
    <x:row r="7">
      <x:c r="A7" s="51" t="str">
        <x:v>FR-HW-03</x:v>
      </x:c>
      <x:c r="B7" s="46" t="str">
        <x:v>Firmware</x:v>
      </x:c>
      <x:c r="C7" s="46" t="str">
        <x:v>LNTB-HFA-001</x:v>
      </x:c>
      <x:c r="D7" s="46" t="str">
        <x:v>firmware/</x:v>
      </x:c>
      <x:c r="E7" s="46" t="str">
        <x:v>TBD</x:v>
      </x:c>
      <x:c r="F7" s="46" t="str">
        <x:v>Pending</x:v>
      </x:c>
      <x:c r="G7" s="46" t="str"/>
      <x:c r="H7" s="52" t="str">
        <x:v>Not Started</x:v>
      </x:c>
    </x:row>
    <x:row r="8">
      <x:c r="A8" s="51" t="str">
        <x:v>FR-HW-04</x:v>
      </x:c>
      <x:c r="B8" s="46" t="str">
        <x:v>Firmware</x:v>
      </x:c>
      <x:c r="C8" s="46" t="str">
        <x:v>LNTB-HFA-001</x:v>
      </x:c>
      <x:c r="D8" s="46" t="str">
        <x:v>firmware/</x:v>
      </x:c>
      <x:c r="E8" s="46" t="str">
        <x:v>TC-003</x:v>
      </x:c>
      <x:c r="F8" s="46" t="str">
        <x:v>Pending</x:v>
      </x:c>
      <x:c r="G8" s="46" t="str"/>
      <x:c r="H8" s="52" t="str">
        <x:v>Not Started</x:v>
      </x:c>
    </x:row>
    <x:row r="9">
      <x:c r="A9" s="51" t="str">
        <x:v>FR-HW-05</x:v>
      </x:c>
      <x:c r="B9" s="46" t="str">
        <x:v>Firmware</x:v>
      </x:c>
      <x:c r="C9" s="46" t="str">
        <x:v>LNTB-HFA-001</x:v>
      </x:c>
      <x:c r="D9" s="46" t="str">
        <x:v>firmware/</x:v>
      </x:c>
      <x:c r="E9" s="46" t="str">
        <x:v>TBD</x:v>
      </x:c>
      <x:c r="F9" s="46" t="str">
        <x:v>Pending</x:v>
      </x:c>
      <x:c r="G9" s="46" t="str"/>
      <x:c r="H9" s="52" t="str">
        <x:v>Not Started</x:v>
      </x:c>
    </x:row>
    <x:row r="10">
      <x:c r="A10" s="51" t="str">
        <x:v>FR-HW-06</x:v>
      </x:c>
      <x:c r="B10" s="46" t="str">
        <x:v>Firmware</x:v>
      </x:c>
      <x:c r="C10" s="46" t="str">
        <x:v>LNTB-HFA-001</x:v>
      </x:c>
      <x:c r="D10" s="46" t="str">
        <x:v>firmware/</x:v>
      </x:c>
      <x:c r="E10" s="46" t="str">
        <x:v>TBD</x:v>
      </x:c>
      <x:c r="F10" s="46" t="str">
        <x:v>Pending</x:v>
      </x:c>
      <x:c r="G10" s="46" t="str"/>
      <x:c r="H10" s="52" t="str">
        <x:v>Not Started</x:v>
      </x:c>
    </x:row>
    <x:row r="11">
      <x:c r="A11" s="51" t="str">
        <x:v>FR-HW-07</x:v>
      </x:c>
      <x:c r="B11" s="46" t="str">
        <x:v>Firmware</x:v>
      </x:c>
      <x:c r="C11" s="46" t="str">
        <x:v>LNTB-HFA-001</x:v>
      </x:c>
      <x:c r="D11" s="46" t="str">
        <x:v>firmware/</x:v>
      </x:c>
      <x:c r="E11" s="46" t="str">
        <x:v>TBD</x:v>
      </x:c>
      <x:c r="F11" s="46" t="str">
        <x:v>Pending</x:v>
      </x:c>
      <x:c r="G11" s="46" t="str"/>
      <x:c r="H11" s="52" t="str">
        <x:v>Not Started</x:v>
      </x:c>
    </x:row>
    <x:row r="12">
      <x:c r="A12" s="51" t="str">
        <x:v>FR-HW-08</x:v>
      </x:c>
      <x:c r="B12" s="46" t="str">
        <x:v>Firmware</x:v>
      </x:c>
      <x:c r="C12" s="46" t="str">
        <x:v>LNTB-HFA-001</x:v>
      </x:c>
      <x:c r="D12" s="46" t="str">
        <x:v>firmware/</x:v>
      </x:c>
      <x:c r="E12" s="46" t="str">
        <x:v>TBD</x:v>
      </x:c>
      <x:c r="F12" s="46" t="str">
        <x:v>Pending</x:v>
      </x:c>
      <x:c r="G12" s="46" t="str"/>
      <x:c r="H12" s="52" t="str">
        <x:v>Not Started</x:v>
      </x:c>
    </x:row>
    <x:row r="13">
      <x:c r="A13" s="51" t="str">
        <x:v>FR-HW-09</x:v>
      </x:c>
      <x:c r="B13" s="46" t="str">
        <x:v>Firmware</x:v>
      </x:c>
      <x:c r="C13" s="46" t="str">
        <x:v>LNTB-HFA-001</x:v>
      </x:c>
      <x:c r="D13" s="46" t="str">
        <x:v>firmware/</x:v>
      </x:c>
      <x:c r="E13" s="46" t="str">
        <x:v>TC-009</x:v>
      </x:c>
      <x:c r="F13" s="46" t="str">
        <x:v>Pending</x:v>
      </x:c>
      <x:c r="G13" s="46" t="str"/>
      <x:c r="H13" s="52" t="str">
        <x:v>Not Started</x:v>
      </x:c>
    </x:row>
    <x:row r="14">
      <x:c r="A14" s="51" t="str">
        <x:v>FR-HW-10</x:v>
      </x:c>
      <x:c r="B14" s="46" t="str">
        <x:v>Firmware</x:v>
      </x:c>
      <x:c r="C14" s="46" t="str">
        <x:v>LNTB-HFA-001</x:v>
      </x:c>
      <x:c r="D14" s="46" t="str">
        <x:v>firmware/</x:v>
      </x:c>
      <x:c r="E14" s="46" t="str">
        <x:v>TBD</x:v>
      </x:c>
      <x:c r="F14" s="46" t="str">
        <x:v>Pending</x:v>
      </x:c>
      <x:c r="G14" s="46" t="str"/>
      <x:c r="H14" s="52" t="str">
        <x:v>Not Started</x:v>
      </x:c>
    </x:row>
    <x:row r="15">
      <x:c r="A15" s="51" t="str">
        <x:v>FR-HW-11</x:v>
      </x:c>
      <x:c r="B15" s="46" t="str">
        <x:v>Firmware</x:v>
      </x:c>
      <x:c r="C15" s="46" t="str">
        <x:v>LNTB-HFA-001</x:v>
      </x:c>
      <x:c r="D15" s="46" t="str">
        <x:v>firmware/</x:v>
      </x:c>
      <x:c r="E15" s="46" t="str">
        <x:v>TBD</x:v>
      </x:c>
      <x:c r="F15" s="46" t="str">
        <x:v>Pending</x:v>
      </x:c>
      <x:c r="G15" s="46" t="str"/>
      <x:c r="H15" s="52" t="str">
        <x:v>Not Started</x:v>
      </x:c>
    </x:row>
    <x:row r="16">
      <x:c r="A16" s="51" t="str">
        <x:v>FR-HW-12</x:v>
      </x:c>
      <x:c r="B16" s="46" t="str">
        <x:v>Firmware</x:v>
      </x:c>
      <x:c r="C16" s="46" t="str">
        <x:v>LNTB-HFA-001</x:v>
      </x:c>
      <x:c r="D16" s="46" t="str">
        <x:v>firmware/</x:v>
      </x:c>
      <x:c r="E16" s="46" t="str">
        <x:v>TBD</x:v>
      </x:c>
      <x:c r="F16" s="46" t="str">
        <x:v>Pending</x:v>
      </x:c>
      <x:c r="G16" s="46" t="str"/>
      <x:c r="H16" s="52" t="str">
        <x:v>Not Started</x:v>
      </x:c>
    </x:row>
    <x:row r="17">
      <x:c r="A17" s="51" t="str">
        <x:v>FR-HW-13</x:v>
      </x:c>
      <x:c r="B17" s="46" t="str">
        <x:v>Firmware</x:v>
      </x:c>
      <x:c r="C17" s="46" t="str">
        <x:v>LNTB-HFA-001</x:v>
      </x:c>
      <x:c r="D17" s="46" t="str">
        <x:v>firmware/</x:v>
      </x:c>
      <x:c r="E17" s="46" t="str">
        <x:v>TBD</x:v>
      </x:c>
      <x:c r="F17" s="46" t="str">
        <x:v>Pending</x:v>
      </x:c>
      <x:c r="G17" s="46" t="str"/>
      <x:c r="H17" s="52" t="str">
        <x:v>Not Started</x:v>
      </x:c>
    </x:row>
    <x:row r="18">
      <x:c r="A18" s="51" t="str">
        <x:v>FR-HW-14</x:v>
      </x:c>
      <x:c r="B18" s="46" t="str">
        <x:v>Firmware</x:v>
      </x:c>
      <x:c r="C18" s="46" t="str">
        <x:v>LNTB-HFA-001</x:v>
      </x:c>
      <x:c r="D18" s="46" t="str">
        <x:v>firmware/</x:v>
      </x:c>
      <x:c r="E18" s="46" t="str">
        <x:v>TC-012</x:v>
      </x:c>
      <x:c r="F18" s="46" t="str">
        <x:v>Pending</x:v>
      </x:c>
      <x:c r="G18" s="46" t="str"/>
      <x:c r="H18" s="52" t="str">
        <x:v>Not Started</x:v>
      </x:c>
    </x:row>
    <x:row r="19">
      <x:c r="A19" s="51" t="str">
        <x:v>FR-HW-15</x:v>
      </x:c>
      <x:c r="B19" s="46" t="str">
        <x:v>Firmware</x:v>
      </x:c>
      <x:c r="C19" s="46" t="str">
        <x:v>LNTB-HFA-001</x:v>
      </x:c>
      <x:c r="D19" s="46" t="str">
        <x:v>firmware/</x:v>
      </x:c>
      <x:c r="E19" s="46" t="str">
        <x:v>TC-012</x:v>
      </x:c>
      <x:c r="F19" s="46" t="str">
        <x:v>Pending</x:v>
      </x:c>
      <x:c r="G19" s="46" t="str"/>
      <x:c r="H19" s="52" t="str">
        <x:v>Not Started</x:v>
      </x:c>
    </x:row>
    <x:row r="20">
      <x:c r="A20" s="51" t="str">
        <x:v>FR-HW-16</x:v>
      </x:c>
      <x:c r="B20" s="46" t="str">
        <x:v>Firmware</x:v>
      </x:c>
      <x:c r="C20" s="46" t="str">
        <x:v>LNTB-HFA-001</x:v>
      </x:c>
      <x:c r="D20" s="46" t="str">
        <x:v>firmware/</x:v>
      </x:c>
      <x:c r="E20" s="46" t="str">
        <x:v>TC-004; TC-009</x:v>
      </x:c>
      <x:c r="F20" s="46" t="str">
        <x:v>Pending</x:v>
      </x:c>
      <x:c r="G20" s="46" t="str"/>
      <x:c r="H20" s="52" t="str">
        <x:v>Not Started</x:v>
      </x:c>
    </x:row>
    <x:row r="21">
      <x:c r="A21" s="51" t="str">
        <x:v>FR-HW-17</x:v>
      </x:c>
      <x:c r="B21" s="46" t="str">
        <x:v>Firmware</x:v>
      </x:c>
      <x:c r="C21" s="46" t="str">
        <x:v>LNTB-HFA-001</x:v>
      </x:c>
      <x:c r="D21" s="46" t="str">
        <x:v>firmware/</x:v>
      </x:c>
      <x:c r="E21" s="46" t="str">
        <x:v>TC-008; TC-011</x:v>
      </x:c>
      <x:c r="F21" s="46" t="str">
        <x:v>Pending</x:v>
      </x:c>
      <x:c r="G21" s="46" t="str"/>
      <x:c r="H21" s="52" t="str">
        <x:v>Not Started</x:v>
      </x:c>
    </x:row>
    <x:row r="22">
      <x:c r="A22" s="51" t="str">
        <x:v>FR-BE-01</x:v>
      </x:c>
      <x:c r="B22" s="46" t="str">
        <x:v>Backend</x:v>
      </x:c>
      <x:c r="C22" s="46" t="str">
        <x:v>LNTB-ARC-001 / LNTB-SEC-001</x:v>
      </x:c>
      <x:c r="D22" s="46" t="str">
        <x:v>backend/</x:v>
      </x:c>
      <x:c r="E22" s="46" t="str">
        <x:v>TC-003</x:v>
      </x:c>
      <x:c r="F22" s="46" t="str">
        <x:v>Pending</x:v>
      </x:c>
      <x:c r="G22" s="46" t="str"/>
      <x:c r="H22" s="52" t="str">
        <x:v>Not Started</x:v>
      </x:c>
    </x:row>
    <x:row r="23">
      <x:c r="A23" s="51" t="str">
        <x:v>FR-BE-02</x:v>
      </x:c>
      <x:c r="B23" s="46" t="str">
        <x:v>Backend</x:v>
      </x:c>
      <x:c r="C23" s="46" t="str">
        <x:v>LNTB-ARC-001 / LNTB-SEC-001</x:v>
      </x:c>
      <x:c r="D23" s="46" t="str">
        <x:v>backend/</x:v>
      </x:c>
      <x:c r="E23" s="46" t="str">
        <x:v>TBD</x:v>
      </x:c>
      <x:c r="F23" s="46" t="str">
        <x:v>Pending</x:v>
      </x:c>
      <x:c r="G23" s="46" t="str"/>
      <x:c r="H23" s="52" t="str">
        <x:v>Not Started</x:v>
      </x:c>
    </x:row>
    <x:row r="24">
      <x:c r="A24" s="51" t="str">
        <x:v>FR-BE-03</x:v>
      </x:c>
      <x:c r="B24" s="46" t="str">
        <x:v>Backend</x:v>
      </x:c>
      <x:c r="C24" s="46" t="str">
        <x:v>LNTB-ARC-001 / LNTB-SEC-001</x:v>
      </x:c>
      <x:c r="D24" s="46" t="str">
        <x:v>backend/</x:v>
      </x:c>
      <x:c r="E24" s="46" t="str">
        <x:v>TBD</x:v>
      </x:c>
      <x:c r="F24" s="46" t="str">
        <x:v>Pending</x:v>
      </x:c>
      <x:c r="G24" s="46" t="str"/>
      <x:c r="H24" s="52" t="str">
        <x:v>Not Started</x:v>
      </x:c>
    </x:row>
    <x:row r="25">
      <x:c r="A25" s="51" t="str">
        <x:v>FR-BE-04</x:v>
      </x:c>
      <x:c r="B25" s="46" t="str">
        <x:v>Backend</x:v>
      </x:c>
      <x:c r="C25" s="46" t="str">
        <x:v>LNTB-ARC-001 / LNTB-SEC-001</x:v>
      </x:c>
      <x:c r="D25" s="46" t="str">
        <x:v>backend/</x:v>
      </x:c>
      <x:c r="E25" s="46" t="str">
        <x:v>TC-014</x:v>
      </x:c>
      <x:c r="F25" s="46" t="str">
        <x:v>Pending</x:v>
      </x:c>
      <x:c r="G25" s="46" t="str"/>
      <x:c r="H25" s="52" t="str">
        <x:v>Not Started</x:v>
      </x:c>
    </x:row>
    <x:row r="26">
      <x:c r="A26" s="51" t="str">
        <x:v>FR-BE-05</x:v>
      </x:c>
      <x:c r="B26" s="46" t="str">
        <x:v>Backend</x:v>
      </x:c>
      <x:c r="C26" s="46" t="str">
        <x:v>LNTB-ARC-001 / LNTB-SEC-001</x:v>
      </x:c>
      <x:c r="D26" s="46" t="str">
        <x:v>backend/</x:v>
      </x:c>
      <x:c r="E26" s="46" t="str">
        <x:v>TC-013</x:v>
      </x:c>
      <x:c r="F26" s="46" t="str">
        <x:v>Pending</x:v>
      </x:c>
      <x:c r="G26" s="46" t="str"/>
      <x:c r="H26" s="52" t="str">
        <x:v>Not Started</x:v>
      </x:c>
    </x:row>
    <x:row r="27">
      <x:c r="A27" s="51" t="str">
        <x:v>FR-BE-06</x:v>
      </x:c>
      <x:c r="B27" s="46" t="str">
        <x:v>Backend</x:v>
      </x:c>
      <x:c r="C27" s="46" t="str">
        <x:v>LNTB-ARC-001 / LNTB-SEC-001</x:v>
      </x:c>
      <x:c r="D27" s="46" t="str">
        <x:v>backend/</x:v>
      </x:c>
      <x:c r="E27" s="46" t="str">
        <x:v>TC-013; TC-021</x:v>
      </x:c>
      <x:c r="F27" s="46" t="str">
        <x:v>Pending</x:v>
      </x:c>
      <x:c r="G27" s="46" t="str"/>
      <x:c r="H27" s="52" t="str">
        <x:v>Not Started</x:v>
      </x:c>
    </x:row>
    <x:row r="28">
      <x:c r="A28" s="51" t="str">
        <x:v>FR-BE-07</x:v>
      </x:c>
      <x:c r="B28" s="46" t="str">
        <x:v>Backend</x:v>
      </x:c>
      <x:c r="C28" s="46" t="str">
        <x:v>LNTB-ARC-001 / LNTB-SEC-001</x:v>
      </x:c>
      <x:c r="D28" s="46" t="str">
        <x:v>backend/</x:v>
      </x:c>
      <x:c r="E28" s="46" t="str">
        <x:v>TC-005</x:v>
      </x:c>
      <x:c r="F28" s="46" t="str">
        <x:v>Pending</x:v>
      </x:c>
      <x:c r="G28" s="46" t="str"/>
      <x:c r="H28" s="52" t="str">
        <x:v>Not Started</x:v>
      </x:c>
    </x:row>
    <x:row r="29">
      <x:c r="A29" s="51" t="str">
        <x:v>FR-BE-08</x:v>
      </x:c>
      <x:c r="B29" s="46" t="str">
        <x:v>Backend</x:v>
      </x:c>
      <x:c r="C29" s="46" t="str">
        <x:v>LNTB-ARC-001 / LNTB-SEC-001</x:v>
      </x:c>
      <x:c r="D29" s="46" t="str">
        <x:v>backend/</x:v>
      </x:c>
      <x:c r="E29" s="46" t="str">
        <x:v>TC-021</x:v>
      </x:c>
      <x:c r="F29" s="46" t="str">
        <x:v>Pending</x:v>
      </x:c>
      <x:c r="G29" s="46" t="str"/>
      <x:c r="H29" s="52" t="str">
        <x:v>Not Started</x:v>
      </x:c>
    </x:row>
    <x:row r="30">
      <x:c r="A30" s="51" t="str">
        <x:v>FR-BE-09</x:v>
      </x:c>
      <x:c r="B30" s="46" t="str">
        <x:v>Backend</x:v>
      </x:c>
      <x:c r="C30" s="46" t="str">
        <x:v>LNTB-ARC-001 / LNTB-SEC-001</x:v>
      </x:c>
      <x:c r="D30" s="46" t="str">
        <x:v>backend/</x:v>
      </x:c>
      <x:c r="E30" s="46" t="str">
        <x:v>TC-021</x:v>
      </x:c>
      <x:c r="F30" s="46" t="str">
        <x:v>Pending</x:v>
      </x:c>
      <x:c r="G30" s="46" t="str"/>
      <x:c r="H30" s="52" t="str">
        <x:v>Not Started</x:v>
      </x:c>
    </x:row>
    <x:row r="31">
      <x:c r="A31" s="51" t="str">
        <x:v>FR-BE-10</x:v>
      </x:c>
      <x:c r="B31" s="46" t="str">
        <x:v>Backend</x:v>
      </x:c>
      <x:c r="C31" s="46" t="str">
        <x:v>LNTB-ARC-001 / LNTB-SEC-001</x:v>
      </x:c>
      <x:c r="D31" s="46" t="str">
        <x:v>backend/</x:v>
      </x:c>
      <x:c r="E31" s="46" t="str">
        <x:v>TC-001</x:v>
      </x:c>
      <x:c r="F31" s="46" t="str">
        <x:v>Pending</x:v>
      </x:c>
      <x:c r="G31" s="46" t="str"/>
      <x:c r="H31" s="52" t="str">
        <x:v>Not Started</x:v>
      </x:c>
    </x:row>
    <x:row r="32">
      <x:c r="A32" s="51" t="str">
        <x:v>FR-BE-11</x:v>
      </x:c>
      <x:c r="B32" s="46" t="str">
        <x:v>Backend</x:v>
      </x:c>
      <x:c r="C32" s="46" t="str">
        <x:v>LNTB-ARC-001 / LNTB-SEC-001</x:v>
      </x:c>
      <x:c r="D32" s="46" t="str">
        <x:v>backend/</x:v>
      </x:c>
      <x:c r="E32" s="46" t="str">
        <x:v>TBD</x:v>
      </x:c>
      <x:c r="F32" s="46" t="str">
        <x:v>Pending</x:v>
      </x:c>
      <x:c r="G32" s="46" t="str"/>
      <x:c r="H32" s="52" t="str">
        <x:v>Not Started</x:v>
      </x:c>
    </x:row>
    <x:row r="33">
      <x:c r="A33" s="51" t="str">
        <x:v>FR-BE-12</x:v>
      </x:c>
      <x:c r="B33" s="46" t="str">
        <x:v>Backend</x:v>
      </x:c>
      <x:c r="C33" s="46" t="str">
        <x:v>LNTB-ARC-001 / LNTB-SEC-001</x:v>
      </x:c>
      <x:c r="D33" s="46" t="str">
        <x:v>backend/</x:v>
      </x:c>
      <x:c r="E33" s="46" t="str">
        <x:v>TC-006</x:v>
      </x:c>
      <x:c r="F33" s="46" t="str">
        <x:v>Pending</x:v>
      </x:c>
      <x:c r="G33" s="46" t="str"/>
      <x:c r="H33" s="52" t="str">
        <x:v>Not Started</x:v>
      </x:c>
    </x:row>
    <x:row r="34">
      <x:c r="A34" s="51" t="str">
        <x:v>FR-BE-13</x:v>
      </x:c>
      <x:c r="B34" s="46" t="str">
        <x:v>Backend</x:v>
      </x:c>
      <x:c r="C34" s="46" t="str">
        <x:v>LNTB-ARC-001 / LNTB-SEC-001</x:v>
      </x:c>
      <x:c r="D34" s="46" t="str">
        <x:v>backend/</x:v>
      </x:c>
      <x:c r="E34" s="46" t="str">
        <x:v>TBD</x:v>
      </x:c>
      <x:c r="F34" s="46" t="str">
        <x:v>Pending</x:v>
      </x:c>
      <x:c r="G34" s="46" t="str"/>
      <x:c r="H34" s="52" t="str">
        <x:v>Not Started</x:v>
      </x:c>
    </x:row>
    <x:row r="35">
      <x:c r="A35" s="51" t="str">
        <x:v>FR-BE-14</x:v>
      </x:c>
      <x:c r="B35" s="46" t="str">
        <x:v>Backend</x:v>
      </x:c>
      <x:c r="C35" s="46" t="str">
        <x:v>LNTB-ARC-001 / LNTB-SEC-001</x:v>
      </x:c>
      <x:c r="D35" s="46" t="str">
        <x:v>backend/</x:v>
      </x:c>
      <x:c r="E35" s="46" t="str">
        <x:v>TC-013</x:v>
      </x:c>
      <x:c r="F35" s="46" t="str">
        <x:v>Pending</x:v>
      </x:c>
      <x:c r="G35" s="46" t="str"/>
      <x:c r="H35" s="52" t="str">
        <x:v>Not Started</x:v>
      </x:c>
    </x:row>
    <x:row r="36">
      <x:c r="A36" s="51" t="str">
        <x:v>FR-BE-15</x:v>
      </x:c>
      <x:c r="B36" s="46" t="str">
        <x:v>Backend</x:v>
      </x:c>
      <x:c r="C36" s="46" t="str">
        <x:v>LNTB-ARC-001 / LNTB-SEC-001</x:v>
      </x:c>
      <x:c r="D36" s="46" t="str">
        <x:v>backend/</x:v>
      </x:c>
      <x:c r="E36" s="46" t="str">
        <x:v>TC-022</x:v>
      </x:c>
      <x:c r="F36" s="46" t="str">
        <x:v>Pending</x:v>
      </x:c>
      <x:c r="G36" s="46" t="str"/>
      <x:c r="H36" s="52" t="str">
        <x:v>Not Started</x:v>
      </x:c>
    </x:row>
    <x:row r="37">
      <x:c r="A37" s="51" t="str">
        <x:v>FR-BE-16</x:v>
      </x:c>
      <x:c r="B37" s="46" t="str">
        <x:v>Backend</x:v>
      </x:c>
      <x:c r="C37" s="46" t="str">
        <x:v>LNTB-ARC-001 / LNTB-SEC-001</x:v>
      </x:c>
      <x:c r="D37" s="46" t="str">
        <x:v>backend/</x:v>
      </x:c>
      <x:c r="E37" s="46" t="str">
        <x:v>TC-004</x:v>
      </x:c>
      <x:c r="F37" s="46" t="str">
        <x:v>Pending</x:v>
      </x:c>
      <x:c r="G37" s="46" t="str"/>
      <x:c r="H37" s="52" t="str">
        <x:v>Not Started</x:v>
      </x:c>
    </x:row>
    <x:row r="38">
      <x:c r="A38" s="51" t="str">
        <x:v>FR-BE-17</x:v>
      </x:c>
      <x:c r="B38" s="46" t="str">
        <x:v>Backend</x:v>
      </x:c>
      <x:c r="C38" s="46" t="str">
        <x:v>LNTB-ARC-001 / LNTB-SEC-001</x:v>
      </x:c>
      <x:c r="D38" s="46" t="str">
        <x:v>backend/</x:v>
      </x:c>
      <x:c r="E38" s="46" t="str">
        <x:v>TC-014</x:v>
      </x:c>
      <x:c r="F38" s="46" t="str">
        <x:v>Pending</x:v>
      </x:c>
      <x:c r="G38" s="46" t="str"/>
      <x:c r="H38" s="52" t="str">
        <x:v>Not Started</x:v>
      </x:c>
    </x:row>
    <x:row r="39">
      <x:c r="A39" s="51" t="str">
        <x:v>FR-BE-18</x:v>
      </x:c>
      <x:c r="B39" s="46" t="str">
        <x:v>Backend</x:v>
      </x:c>
      <x:c r="C39" s="46" t="str">
        <x:v>LNTB-ARC-001 / LNTB-SEC-001</x:v>
      </x:c>
      <x:c r="D39" s="46" t="str">
        <x:v>backend/</x:v>
      </x:c>
      <x:c r="E39" s="46" t="str">
        <x:v>TC-021</x:v>
      </x:c>
      <x:c r="F39" s="46" t="str">
        <x:v>Pending</x:v>
      </x:c>
      <x:c r="G39" s="46" t="str"/>
      <x:c r="H39" s="52" t="str">
        <x:v>Not Started</x:v>
      </x:c>
    </x:row>
    <x:row r="40">
      <x:c r="A40" s="51" t="str">
        <x:v>FR-APP-01</x:v>
      </x:c>
      <x:c r="B40" s="46" t="str">
        <x:v>Mobile</x:v>
      </x:c>
      <x:c r="C40" s="46" t="str">
        <x:v>LNTB-UX-001 / LNTB-ARC-001</x:v>
      </x:c>
      <x:c r="D40" s="46" t="str">
        <x:v>mobile/</x:v>
      </x:c>
      <x:c r="E40" s="46" t="str">
        <x:v>TC-001</x:v>
      </x:c>
      <x:c r="F40" s="46" t="str">
        <x:v>Pending</x:v>
      </x:c>
      <x:c r="G40" s="46" t="str"/>
      <x:c r="H40" s="52" t="str">
        <x:v>Not Started</x:v>
      </x:c>
    </x:row>
    <x:row r="41">
      <x:c r="A41" s="51" t="str">
        <x:v>FR-APP-02</x:v>
      </x:c>
      <x:c r="B41" s="46" t="str">
        <x:v>Mobile</x:v>
      </x:c>
      <x:c r="C41" s="46" t="str">
        <x:v>LNTB-UX-001 / LNTB-ARC-001</x:v>
      </x:c>
      <x:c r="D41" s="46" t="str">
        <x:v>mobile/</x:v>
      </x:c>
      <x:c r="E41" s="46" t="str">
        <x:v>TBD</x:v>
      </x:c>
      <x:c r="F41" s="46" t="str">
        <x:v>Pending</x:v>
      </x:c>
      <x:c r="G41" s="46" t="str"/>
      <x:c r="H41" s="52" t="str">
        <x:v>Not Started</x:v>
      </x:c>
    </x:row>
    <x:row r="42">
      <x:c r="A42" s="51" t="str">
        <x:v>FR-APP-03</x:v>
      </x:c>
      <x:c r="B42" s="46" t="str">
        <x:v>Mobile</x:v>
      </x:c>
      <x:c r="C42" s="46" t="str">
        <x:v>LNTB-UX-001 / LNTB-ARC-001</x:v>
      </x:c>
      <x:c r="D42" s="46" t="str">
        <x:v>mobile/</x:v>
      </x:c>
      <x:c r="E42" s="46" t="str">
        <x:v>TBD</x:v>
      </x:c>
      <x:c r="F42" s="46" t="str">
        <x:v>Pending</x:v>
      </x:c>
      <x:c r="G42" s="46" t="str"/>
      <x:c r="H42" s="52" t="str">
        <x:v>Not Started</x:v>
      </x:c>
    </x:row>
    <x:row r="43">
      <x:c r="A43" s="51" t="str">
        <x:v>FR-APP-04</x:v>
      </x:c>
      <x:c r="B43" s="46" t="str">
        <x:v>Mobile</x:v>
      </x:c>
      <x:c r="C43" s="46" t="str">
        <x:v>LNTB-UX-001 / LNTB-ARC-001</x:v>
      </x:c>
      <x:c r="D43" s="46" t="str">
        <x:v>mobile/</x:v>
      </x:c>
      <x:c r="E43" s="46" t="str">
        <x:v>TC-006</x:v>
      </x:c>
      <x:c r="F43" s="46" t="str">
        <x:v>Pending</x:v>
      </x:c>
      <x:c r="G43" s="46" t="str"/>
      <x:c r="H43" s="52" t="str">
        <x:v>Not Started</x:v>
      </x:c>
    </x:row>
    <x:row r="44">
      <x:c r="A44" s="51" t="str">
        <x:v>FR-APP-05</x:v>
      </x:c>
      <x:c r="B44" s="46" t="str">
        <x:v>Mobile</x:v>
      </x:c>
      <x:c r="C44" s="46" t="str">
        <x:v>LNTB-UX-001 / LNTB-ARC-001</x:v>
      </x:c>
      <x:c r="D44" s="46" t="str">
        <x:v>mobile/</x:v>
      </x:c>
      <x:c r="E44" s="46" t="str">
        <x:v>TBD</x:v>
      </x:c>
      <x:c r="F44" s="46" t="str">
        <x:v>Pending</x:v>
      </x:c>
      <x:c r="G44" s="46" t="str"/>
      <x:c r="H44" s="52" t="str">
        <x:v>Not Started</x:v>
      </x:c>
    </x:row>
    <x:row r="45">
      <x:c r="A45" s="51" t="str">
        <x:v>FR-APP-06</x:v>
      </x:c>
      <x:c r="B45" s="46" t="str">
        <x:v>Mobile</x:v>
      </x:c>
      <x:c r="C45" s="46" t="str">
        <x:v>LNTB-UX-001 / LNTB-ARC-001</x:v>
      </x:c>
      <x:c r="D45" s="46" t="str">
        <x:v>mobile/</x:v>
      </x:c>
      <x:c r="E45" s="46" t="str">
        <x:v>TC-016</x:v>
      </x:c>
      <x:c r="F45" s="46" t="str">
        <x:v>Pending</x:v>
      </x:c>
      <x:c r="G45" s="46" t="str"/>
      <x:c r="H45" s="52" t="str">
        <x:v>Not Started</x:v>
      </x:c>
    </x:row>
    <x:row r="46">
      <x:c r="A46" s="51" t="str">
        <x:v>FR-APP-07</x:v>
      </x:c>
      <x:c r="B46" s="46" t="str">
        <x:v>Mobile</x:v>
      </x:c>
      <x:c r="C46" s="46" t="str">
        <x:v>LNTB-UX-001 / LNTB-ARC-001</x:v>
      </x:c>
      <x:c r="D46" s="46" t="str">
        <x:v>mobile/</x:v>
      </x:c>
      <x:c r="E46" s="46" t="str">
        <x:v>TBD</x:v>
      </x:c>
      <x:c r="F46" s="46" t="str">
        <x:v>Pending</x:v>
      </x:c>
      <x:c r="G46" s="46" t="str"/>
      <x:c r="H46" s="52" t="str">
        <x:v>Not Started</x:v>
      </x:c>
    </x:row>
    <x:row r="47">
      <x:c r="A47" s="51" t="str">
        <x:v>FR-APP-08</x:v>
      </x:c>
      <x:c r="B47" s="46" t="str">
        <x:v>Mobile</x:v>
      </x:c>
      <x:c r="C47" s="46" t="str">
        <x:v>LNTB-UX-001 / LNTB-ARC-001</x:v>
      </x:c>
      <x:c r="D47" s="46" t="str">
        <x:v>mobile/</x:v>
      </x:c>
      <x:c r="E47" s="46" t="str">
        <x:v>TBD</x:v>
      </x:c>
      <x:c r="F47" s="46" t="str">
        <x:v>Pending</x:v>
      </x:c>
      <x:c r="G47" s="46" t="str"/>
      <x:c r="H47" s="52" t="str">
        <x:v>Not Started</x:v>
      </x:c>
    </x:row>
    <x:row r="48">
      <x:c r="A48" s="51" t="str">
        <x:v>FR-APP-09</x:v>
      </x:c>
      <x:c r="B48" s="46" t="str">
        <x:v>Mobile</x:v>
      </x:c>
      <x:c r="C48" s="46" t="str">
        <x:v>LNTB-UX-001 / LNTB-ARC-001</x:v>
      </x:c>
      <x:c r="D48" s="46" t="str">
        <x:v>mobile/</x:v>
      </x:c>
      <x:c r="E48" s="46" t="str">
        <x:v>TBD</x:v>
      </x:c>
      <x:c r="F48" s="46" t="str">
        <x:v>Pending</x:v>
      </x:c>
      <x:c r="G48" s="46" t="str"/>
      <x:c r="H48" s="52" t="str">
        <x:v>Not Started</x:v>
      </x:c>
    </x:row>
    <x:row r="49">
      <x:c r="A49" s="51" t="str">
        <x:v>FR-APP-10</x:v>
      </x:c>
      <x:c r="B49" s="46" t="str">
        <x:v>Mobile</x:v>
      </x:c>
      <x:c r="C49" s="46" t="str">
        <x:v>LNTB-UX-001 / LNTB-ARC-001</x:v>
      </x:c>
      <x:c r="D49" s="46" t="str">
        <x:v>mobile/</x:v>
      </x:c>
      <x:c r="E49" s="46" t="str">
        <x:v>TC-017</x:v>
      </x:c>
      <x:c r="F49" s="46" t="str">
        <x:v>Pending</x:v>
      </x:c>
      <x:c r="G49" s="46" t="str"/>
      <x:c r="H49" s="52" t="str">
        <x:v>Not Started</x:v>
      </x:c>
    </x:row>
    <x:row r="50">
      <x:c r="A50" s="51" t="str">
        <x:v>FR-APP-11</x:v>
      </x:c>
      <x:c r="B50" s="46" t="str">
        <x:v>Mobile</x:v>
      </x:c>
      <x:c r="C50" s="46" t="str">
        <x:v>LNTB-UX-001 / LNTB-ARC-001</x:v>
      </x:c>
      <x:c r="D50" s="46" t="str">
        <x:v>mobile/</x:v>
      </x:c>
      <x:c r="E50" s="46" t="str">
        <x:v>TBD</x:v>
      </x:c>
      <x:c r="F50" s="46" t="str">
        <x:v>Pending</x:v>
      </x:c>
      <x:c r="G50" s="46" t="str"/>
      <x:c r="H50" s="52" t="str">
        <x:v>Not Started</x:v>
      </x:c>
    </x:row>
    <x:row r="51">
      <x:c r="A51" s="51" t="str">
        <x:v>FR-APP-12</x:v>
      </x:c>
      <x:c r="B51" s="46" t="str">
        <x:v>Mobile</x:v>
      </x:c>
      <x:c r="C51" s="46" t="str">
        <x:v>LNTB-UX-001 / LNTB-ARC-001</x:v>
      </x:c>
      <x:c r="D51" s="46" t="str">
        <x:v>mobile/</x:v>
      </x:c>
      <x:c r="E51" s="46" t="str">
        <x:v>TC-018</x:v>
      </x:c>
      <x:c r="F51" s="46" t="str">
        <x:v>Pending</x:v>
      </x:c>
      <x:c r="G51" s="46" t="str"/>
      <x:c r="H51" s="52" t="str">
        <x:v>Not Started</x:v>
      </x:c>
    </x:row>
    <x:row r="52">
      <x:c r="A52" s="51" t="str">
        <x:v>FR-APP-13</x:v>
      </x:c>
      <x:c r="B52" s="46" t="str">
        <x:v>Mobile</x:v>
      </x:c>
      <x:c r="C52" s="46" t="str">
        <x:v>LNTB-UX-001 / LNTB-ARC-001</x:v>
      </x:c>
      <x:c r="D52" s="46" t="str">
        <x:v>mobile/</x:v>
      </x:c>
      <x:c r="E52" s="46" t="str">
        <x:v>TBD</x:v>
      </x:c>
      <x:c r="F52" s="46" t="str">
        <x:v>Pending</x:v>
      </x:c>
      <x:c r="G52" s="46" t="str"/>
      <x:c r="H52" s="52" t="str">
        <x:v>Not Started</x:v>
      </x:c>
    </x:row>
    <x:row r="53">
      <x:c r="A53" s="51" t="str">
        <x:v>FR-APP-14</x:v>
      </x:c>
      <x:c r="B53" s="46" t="str">
        <x:v>Mobile</x:v>
      </x:c>
      <x:c r="C53" s="46" t="str">
        <x:v>LNTB-UX-001 / LNTB-ARC-001</x:v>
      </x:c>
      <x:c r="D53" s="46" t="str">
        <x:v>mobile/</x:v>
      </x:c>
      <x:c r="E53" s="46" t="str">
        <x:v>TC-018</x:v>
      </x:c>
      <x:c r="F53" s="46" t="str">
        <x:v>Pending</x:v>
      </x:c>
      <x:c r="G53" s="46" t="str"/>
      <x:c r="H53" s="52" t="str">
        <x:v>Not Started</x:v>
      </x:c>
    </x:row>
    <x:row r="54">
      <x:c r="A54" s="51" t="str">
        <x:v>FR-APP-15</x:v>
      </x:c>
      <x:c r="B54" s="46" t="str">
        <x:v>Mobile</x:v>
      </x:c>
      <x:c r="C54" s="46" t="str">
        <x:v>LNTB-UX-001 / LNTB-ARC-001</x:v>
      </x:c>
      <x:c r="D54" s="46" t="str">
        <x:v>mobile/</x:v>
      </x:c>
      <x:c r="E54" s="46" t="str">
        <x:v>TC-001</x:v>
      </x:c>
      <x:c r="F54" s="46" t="str">
        <x:v>Pending</x:v>
      </x:c>
      <x:c r="G54" s="46" t="str"/>
      <x:c r="H54" s="52" t="str">
        <x:v>Not Started</x:v>
      </x:c>
    </x:row>
    <x:row r="55">
      <x:c r="A55" s="51" t="str">
        <x:v>NFR-01</x:v>
      </x:c>
      <x:c r="B55" s="46" t="str">
        <x:v>Cross-cutting</x:v>
      </x:c>
      <x:c r="C55" s="46" t="str">
        <x:v>LNTB-QA-001 / applicable plan</x:v>
      </x:c>
      <x:c r="D55" s="46" t="str">
        <x:v>all components</x:v>
      </x:c>
      <x:c r="E55" s="46" t="str">
        <x:v>TBD</x:v>
      </x:c>
      <x:c r="F55" s="46" t="str">
        <x:v>Pending</x:v>
      </x:c>
      <x:c r="G55" s="46" t="str"/>
      <x:c r="H55" s="52" t="str">
        <x:v>Not Started</x:v>
      </x:c>
    </x:row>
    <x:row r="56">
      <x:c r="A56" s="51" t="str">
        <x:v>NFR-02</x:v>
      </x:c>
      <x:c r="B56" s="46" t="str">
        <x:v>Cross-cutting</x:v>
      </x:c>
      <x:c r="C56" s="46" t="str">
        <x:v>LNTB-QA-001 / applicable plan</x:v>
      </x:c>
      <x:c r="D56" s="46" t="str">
        <x:v>all components</x:v>
      </x:c>
      <x:c r="E56" s="46" t="str">
        <x:v>TC-005</x:v>
      </x:c>
      <x:c r="F56" s="46" t="str">
        <x:v>Pending</x:v>
      </x:c>
      <x:c r="G56" s="46" t="str"/>
      <x:c r="H56" s="52" t="str">
        <x:v>Not Started</x:v>
      </x:c>
    </x:row>
    <x:row r="57">
      <x:c r="A57" s="51" t="str">
        <x:v>NFR-03</x:v>
      </x:c>
      <x:c r="B57" s="46" t="str">
        <x:v>Cross-cutting</x:v>
      </x:c>
      <x:c r="C57" s="46" t="str">
        <x:v>LNTB-QA-001 / applicable plan</x:v>
      </x:c>
      <x:c r="D57" s="46" t="str">
        <x:v>all components</x:v>
      </x:c>
      <x:c r="E57" s="46" t="str">
        <x:v>TC-009</x:v>
      </x:c>
      <x:c r="F57" s="46" t="str">
        <x:v>Pending</x:v>
      </x:c>
      <x:c r="G57" s="46" t="str"/>
      <x:c r="H57" s="52" t="str">
        <x:v>Not Started</x:v>
      </x:c>
    </x:row>
    <x:row r="58">
      <x:c r="A58" s="51" t="str">
        <x:v>NFR-04</x:v>
      </x:c>
      <x:c r="B58" s="46" t="str">
        <x:v>Cross-cutting</x:v>
      </x:c>
      <x:c r="C58" s="46" t="str">
        <x:v>LNTB-QA-001 / applicable plan</x:v>
      </x:c>
      <x:c r="D58" s="46" t="str">
        <x:v>all components</x:v>
      </x:c>
      <x:c r="E58" s="46" t="str">
        <x:v>TBD</x:v>
      </x:c>
      <x:c r="F58" s="46" t="str">
        <x:v>Pending</x:v>
      </x:c>
      <x:c r="G58" s="46" t="str"/>
      <x:c r="H58" s="52" t="str">
        <x:v>Not Started</x:v>
      </x:c>
    </x:row>
    <x:row r="59">
      <x:c r="A59" s="51" t="str">
        <x:v>NFR-05</x:v>
      </x:c>
      <x:c r="B59" s="46" t="str">
        <x:v>Cross-cutting</x:v>
      </x:c>
      <x:c r="C59" s="46" t="str">
        <x:v>LNTB-QA-001 / applicable plan</x:v>
      </x:c>
      <x:c r="D59" s="46" t="str">
        <x:v>all components</x:v>
      </x:c>
      <x:c r="E59" s="46" t="str">
        <x:v>TC-002; TC-007</x:v>
      </x:c>
      <x:c r="F59" s="46" t="str">
        <x:v>Pending</x:v>
      </x:c>
      <x:c r="G59" s="46" t="str"/>
      <x:c r="H59" s="52" t="str">
        <x:v>Not Started</x:v>
      </x:c>
    </x:row>
    <x:row r="60">
      <x:c r="A60" s="51" t="str">
        <x:v>NFR-06</x:v>
      </x:c>
      <x:c r="B60" s="46" t="str">
        <x:v>Cross-cutting</x:v>
      </x:c>
      <x:c r="C60" s="46" t="str">
        <x:v>LNTB-QA-001 / applicable plan</x:v>
      </x:c>
      <x:c r="D60" s="46" t="str">
        <x:v>all components</x:v>
      </x:c>
      <x:c r="E60" s="46" t="str">
        <x:v>TBD</x:v>
      </x:c>
      <x:c r="F60" s="46" t="str">
        <x:v>Pending</x:v>
      </x:c>
      <x:c r="G60" s="46" t="str"/>
      <x:c r="H60" s="52" t="str">
        <x:v>Not Started</x:v>
      </x:c>
    </x:row>
    <x:row r="61">
      <x:c r="A61" s="51" t="str">
        <x:v>NFR-07</x:v>
      </x:c>
      <x:c r="B61" s="46" t="str">
        <x:v>Cross-cutting</x:v>
      </x:c>
      <x:c r="C61" s="46" t="str">
        <x:v>LNTB-QA-001 / applicable plan</x:v>
      </x:c>
      <x:c r="D61" s="46" t="str">
        <x:v>all components</x:v>
      </x:c>
      <x:c r="E61" s="46" t="str">
        <x:v>TC-017</x:v>
      </x:c>
      <x:c r="F61" s="46" t="str">
        <x:v>Pending</x:v>
      </x:c>
      <x:c r="G61" s="46" t="str"/>
      <x:c r="H61" s="52" t="str">
        <x:v>Not Started</x:v>
      </x:c>
    </x:row>
    <x:row r="62">
      <x:c r="A62" s="51" t="str">
        <x:v>NFR-08</x:v>
      </x:c>
      <x:c r="B62" s="46" t="str">
        <x:v>Cross-cutting</x:v>
      </x:c>
      <x:c r="C62" s="46" t="str">
        <x:v>LNTB-QA-001 / applicable plan</x:v>
      </x:c>
      <x:c r="D62" s="46" t="str">
        <x:v>all components</x:v>
      </x:c>
      <x:c r="E62" s="46" t="str">
        <x:v>TBD</x:v>
      </x:c>
      <x:c r="F62" s="46" t="str">
        <x:v>Pending</x:v>
      </x:c>
      <x:c r="G62" s="46" t="str"/>
      <x:c r="H62" s="52" t="str">
        <x:v>Not Started</x:v>
      </x:c>
    </x:row>
    <x:row r="63">
      <x:c r="A63" s="51" t="str">
        <x:v>NFR-09</x:v>
      </x:c>
      <x:c r="B63" s="46" t="str">
        <x:v>Cross-cutting</x:v>
      </x:c>
      <x:c r="C63" s="46" t="str">
        <x:v>LNTB-QA-001 / applicable plan</x:v>
      </x:c>
      <x:c r="D63" s="46" t="str">
        <x:v>all components</x:v>
      </x:c>
      <x:c r="E63" s="46" t="str">
        <x:v>TBD</x:v>
      </x:c>
      <x:c r="F63" s="46" t="str">
        <x:v>Pending</x:v>
      </x:c>
      <x:c r="G63" s="46" t="str"/>
      <x:c r="H63" s="52" t="str">
        <x:v>Not Started</x:v>
      </x:c>
    </x:row>
    <x:row r="64">
      <x:c r="A64" s="51" t="str">
        <x:v>NFR-10</x:v>
      </x:c>
      <x:c r="B64" s="46" t="str">
        <x:v>Cross-cutting</x:v>
      </x:c>
      <x:c r="C64" s="46" t="str">
        <x:v>LNTB-QA-001 / applicable plan</x:v>
      </x:c>
      <x:c r="D64" s="46" t="str">
        <x:v>all components</x:v>
      </x:c>
      <x:c r="E64" s="46" t="str">
        <x:v>TBD</x:v>
      </x:c>
      <x:c r="F64" s="46" t="str">
        <x:v>Pending</x:v>
      </x:c>
      <x:c r="G64" s="46" t="str"/>
      <x:c r="H64" s="52" t="str">
        <x:v>Not Started</x:v>
      </x:c>
    </x:row>
    <x:row r="65">
      <x:c r="A65" s="51" t="str">
        <x:v>NFR-11</x:v>
      </x:c>
      <x:c r="B65" s="46" t="str">
        <x:v>Cross-cutting</x:v>
      </x:c>
      <x:c r="C65" s="46" t="str">
        <x:v>LNTB-QA-001 / applicable plan</x:v>
      </x:c>
      <x:c r="D65" s="46" t="str">
        <x:v>all components</x:v>
      </x:c>
      <x:c r="E65" s="46" t="str">
        <x:v>TC-012</x:v>
      </x:c>
      <x:c r="F65" s="46" t="str">
        <x:v>Pending</x:v>
      </x:c>
      <x:c r="G65" s="46" t="str"/>
      <x:c r="H65" s="52" t="str">
        <x:v>Not Started</x:v>
      </x:c>
    </x:row>
    <x:row r="66">
      <x:c r="A66" s="51" t="str">
        <x:v>NFR-12</x:v>
      </x:c>
      <x:c r="B66" s="46" t="str">
        <x:v>Cross-cutting</x:v>
      </x:c>
      <x:c r="C66" s="46" t="str">
        <x:v>LNTB-QA-001 / applicable plan</x:v>
      </x:c>
      <x:c r="D66" s="46" t="str">
        <x:v>all components</x:v>
      </x:c>
      <x:c r="E66" s="46" t="str">
        <x:v>TC-015</x:v>
      </x:c>
      <x:c r="F66" s="46" t="str">
        <x:v>Pending</x:v>
      </x:c>
      <x:c r="G66" s="46" t="str"/>
      <x:c r="H66" s="52" t="str">
        <x:v>Not Started</x:v>
      </x:c>
    </x:row>
    <x:row r="67">
      <x:c r="A67" s="51" t="str">
        <x:v>NFR-13</x:v>
      </x:c>
      <x:c r="B67" s="46" t="str">
        <x:v>Cross-cutting</x:v>
      </x:c>
      <x:c r="C67" s="46" t="str">
        <x:v>LNTB-QA-001 / applicable plan</x:v>
      </x:c>
      <x:c r="D67" s="46" t="str">
        <x:v>all components</x:v>
      </x:c>
      <x:c r="E67" s="46" t="str">
        <x:v>TC-007; TC-008; TC-010</x:v>
      </x:c>
      <x:c r="F67" s="46" t="str">
        <x:v>Pending</x:v>
      </x:c>
      <x:c r="G67" s="46" t="str"/>
      <x:c r="H67" s="52" t="str">
        <x:v>Not Started</x:v>
      </x:c>
    </x:row>
    <x:row r="68">
      <x:c r="A68" s="51" t="str">
        <x:v>NFR-14</x:v>
      </x:c>
      <x:c r="B68" s="46" t="str">
        <x:v>Cross-cutting</x:v>
      </x:c>
      <x:c r="C68" s="46" t="str">
        <x:v>LNTB-QA-001 / applicable plan</x:v>
      </x:c>
      <x:c r="D68" s="46" t="str">
        <x:v>all components</x:v>
      </x:c>
      <x:c r="E68" s="46" t="str">
        <x:v>TC-020</x:v>
      </x:c>
      <x:c r="F68" s="46" t="str">
        <x:v>Pending</x:v>
      </x:c>
      <x:c r="G68" s="46" t="str"/>
      <x:c r="H68" s="52" t="str">
        <x:v>Not Started</x:v>
      </x:c>
    </x:row>
    <x:row r="69">
      <x:c r="A69" s="51" t="str">
        <x:v>NFR-15</x:v>
      </x:c>
      <x:c r="B69" s="46" t="str">
        <x:v>Cross-cutting</x:v>
      </x:c>
      <x:c r="C69" s="46" t="str">
        <x:v>LNTB-QA-001 / applicable plan</x:v>
      </x:c>
      <x:c r="D69" s="46" t="str">
        <x:v>all components</x:v>
      </x:c>
      <x:c r="E69" s="46" t="str">
        <x:v>TC-019</x:v>
      </x:c>
      <x:c r="F69" s="46" t="str">
        <x:v>Pending</x:v>
      </x:c>
      <x:c r="G69" s="46" t="str"/>
      <x:c r="H69" s="52" t="str">
        <x:v>Not Started</x:v>
      </x:c>
    </x:row>
    <x:row r="70">
      <x:c r="A70" s="51" t="str">
        <x:v>NFR-16</x:v>
      </x:c>
      <x:c r="B70" s="46" t="str">
        <x:v>Cross-cutting</x:v>
      </x:c>
      <x:c r="C70" s="46" t="str">
        <x:v>LNTB-QA-001 / applicable plan</x:v>
      </x:c>
      <x:c r="D70" s="46" t="str">
        <x:v>all components</x:v>
      </x:c>
      <x:c r="E70" s="46" t="str">
        <x:v>TBD</x:v>
      </x:c>
      <x:c r="F70" s="46" t="str">
        <x:v>Pending</x:v>
      </x:c>
      <x:c r="G70" s="46" t="str"/>
      <x:c r="H70" s="52" t="str">
        <x:v>Not Started</x:v>
      </x:c>
    </x:row>
    <x:row r="71">
      <x:c r="A71" s="53" t="str">
        <x:v>NFR-17</x:v>
      </x:c>
      <x:c r="B71" s="54" t="str">
        <x:v>Cross-cutting</x:v>
      </x:c>
      <x:c r="C71" s="54" t="str">
        <x:v>LNTB-QA-001 / applicable plan</x:v>
      </x:c>
      <x:c r="D71" s="54" t="str">
        <x:v>all components</x:v>
      </x:c>
      <x:c r="E71" s="54" t="str">
        <x:v>TBD</x:v>
      </x:c>
      <x:c r="F71" s="54" t="str">
        <x:v>Pending</x:v>
      </x:c>
      <x:c r="G71" s="54" t="str"/>
      <x:c r="H71" s="55" t="str">
        <x:v>Not Started</x:v>
      </x:c>
    </x:row>
  </x:sheetData>
  <x:mergeCells>
    <x:mergeCell ref="A1:J1"/>
    <x:mergeCell ref="A2:J2"/>
  </x:mergeCells>
  <x:conditionalFormatting sqref="H5:H71">
    <x:cfRule type="expression" dxfId="5" priority="1">
      <x:formula>H5="Complete"</x:formula>
    </x:cfRule>
    <x:cfRule type="expression" dxfId="6" priority="2">
      <x:formula>H5="In Progress"</x:formula>
    </x:cfRule>
    <x:cfRule type="expression" dxfId="7" priority="3">
      <x:formula>H5="Blocked"</x:formula>
    </x:cfRule>
    <x:cfRule type="expression" dxfId="8" priority="4">
      <x:formula>H5="Not Started"</x:formula>
    </x:cfRule>
  </x:conditionalFormatting>
  <x:dataValidations count="1">
    <x:dataValidation type="list" sqref="H5:H71">
      <x:formula1>"Not Started,In Progress,Complete,Blocked,Deferred"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3c4981870849c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20" hidden="0" customWidth="1"/>
    <x:col min="5" max="5" width="13" hidden="0" customWidth="1"/>
    <x:col min="6" max="6" width="13" hidden="0" customWidth="1"/>
    <x:col min="7" max="7" width="12" hidden="0" customWidth="1"/>
    <x:col min="8" max="8" width="15" hidden="0" customWidth="1"/>
    <x:col min="9" max="9" width="9" hidden="0" customWidth="1"/>
    <x:col min="10" max="10" width="45" hidden="0" customWidth="1"/>
    <x:col min="11" max="11" width="14" hidden="0" customWidth="1"/>
    <x:col min="12" max="12" width="18" hidden="0" customWidth="1"/>
  </x:cols>
  <x:sheetData>
    <x:row r="1" ht="30" customHeight="1">
      <x:c r="A1" s="33" t="str">
        <x:v>WBS and Integrated Schedule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</x:row>
    <x:row r="2" ht="38" customHeight="1">
      <x:c r="A2" s="40" t="str">
        <x:v>Dates are planning baseline and must be revised through change control.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</x:row>
    <x:row r="4" ht="30" customHeight="1">
      <x:c r="A4" s="13" t="str">
        <x:v>WBS</x:v>
      </x:c>
      <x:c r="B4" s="14" t="str">
        <x:v>Work Package</x:v>
      </x:c>
      <x:c r="C4" s="14" t="str">
        <x:v>Phase</x:v>
      </x:c>
      <x:c r="D4" s="14" t="str">
        <x:v>Owner</x:v>
      </x:c>
      <x:c r="E4" s="14" t="str">
        <x:v>Start</x:v>
      </x:c>
      <x:c r="F4" s="14" t="str">
        <x:v>Finish</x:v>
      </x:c>
      <x:c r="G4" s="14" t="str">
        <x:v>% Complete</x:v>
      </x:c>
      <x:c r="H4" s="14" t="str">
        <x:v>Status</x:v>
      </x:c>
      <x:c r="I4" s="14" t="str">
        <x:v>Gate</x:v>
      </x:c>
      <x:c r="J4" s="14" t="str">
        <x:v>Deliverable / Exit Evidence</x:v>
      </x:c>
      <x:c r="K4" s="14" t="str">
        <x:v>Duration (days)</x:v>
      </x:c>
      <x:c r="L4" s="15" t="str">
        <x:v>Schedule Flag</x:v>
      </x:c>
    </x:row>
    <x:row r="5">
      <x:c r="A5" s="48" t="str">
        <x:v>1.0</x:v>
      </x:c>
      <x:c r="B5" s="49" t="str">
        <x:v>Governance and initiation</x:v>
      </x:c>
      <x:c r="C5" s="49" t="str">
        <x:v>Project Management</x:v>
      </x:c>
      <x:c r="D5" s="49" t="str">
        <x:v>Project Manager</x:v>
      </x:c>
      <x:c r="E5" s="64" t="n">
        <x:v>46143</x:v>
      </x:c>
      <x:c r="F5" s="64" t="n">
        <x:v>46157</x:v>
      </x:c>
      <x:c r="G5" s="76" t="n">
        <x:v>1</x:v>
      </x:c>
      <x:c r="H5" s="49" t="str">
        <x:v>Complete</x:v>
      </x:c>
      <x:c r="I5" s="49" t="str">
        <x:v>G0</x:v>
      </x:c>
      <x:c r="J5" s="49" t="str">
        <x:v>Approved charter and registers</x:v>
      </x:c>
      <x:c r="K5" s="70" t="n">
        <x:f>F5-E5+1</x:f>
        <x:v>15</x:v>
      </x:c>
      <x:c r="L5" s="50" t="str">
        <x:f>IF(AND(H5&lt;&gt;"Complete",TODAY()&gt;F5),"Overdue",IF(G5=1,"Complete","On Track"))</x:f>
        <x:v>Complete</x:v>
      </x:c>
    </x:row>
    <x:row r="6">
      <x:c r="A6" s="51" t="str">
        <x:v>2.0</x:v>
      </x:c>
      <x:c r="B6" s="46" t="str">
        <x:v>Requirements and UX baseline</x:v>
      </x:c>
      <x:c r="C6" s="46" t="str">
        <x:v>Requirements</x:v>
      </x:c>
      <x:c r="D6" s="46" t="str">
        <x:v>BA / UX Lead</x:v>
      </x:c>
      <x:c r="E6" s="65" t="n">
        <x:v>46158</x:v>
      </x:c>
      <x:c r="F6" s="65" t="n">
        <x:v>46183</x:v>
      </x:c>
      <x:c r="G6" s="77" t="n">
        <x:v>0.85</x:v>
      </x:c>
      <x:c r="H6" s="46" t="str">
        <x:v>In Progress</x:v>
      </x:c>
      <x:c r="I6" s="46" t="str">
        <x:v>G1</x:v>
      </x:c>
      <x:c r="J6" s="46" t="str">
        <x:v>SRS, UX and acceptance baseline</x:v>
      </x:c>
      <x:c r="K6" s="71" t="n">
        <x:f>F6-E6+1</x:f>
        <x:v>26</x:v>
      </x:c>
      <x:c r="L6" s="52" t="str">
        <x:f>IF(AND(H6&lt;&gt;"Complete",TODAY()&gt;F6),"Overdue",IF(G6=1,"Complete","On Track"))</x:f>
        <x:v>Overdue</x:v>
      </x:c>
    </x:row>
    <x:row r="7">
      <x:c r="A7" s="51" t="str">
        <x:v>3.0</x:v>
      </x:c>
      <x:c r="B7" s="46" t="str">
        <x:v>Architecture and security design</x:v>
      </x:c>
      <x:c r="C7" s="46" t="str">
        <x:v>Design</x:v>
      </x:c>
      <x:c r="D7" s="46" t="str">
        <x:v>Technical Lead</x:v>
      </x:c>
      <x:c r="E7" s="65" t="n">
        <x:v>46174</x:v>
      </x:c>
      <x:c r="F7" s="65" t="n">
        <x:v>46193</x:v>
      </x:c>
      <x:c r="G7" s="77" t="n">
        <x:v>0.75</x:v>
      </x:c>
      <x:c r="H7" s="46" t="str">
        <x:v>In Progress</x:v>
      </x:c>
      <x:c r="I7" s="46" t="str">
        <x:v>G2</x:v>
      </x:c>
      <x:c r="J7" s="46" t="str">
        <x:v>Architecture/ADR/security review</x:v>
      </x:c>
      <x:c r="K7" s="71" t="n">
        <x:f>F7-E7+1</x:f>
        <x:v>20</x:v>
      </x:c>
      <x:c r="L7" s="52" t="str">
        <x:f>IF(AND(H7&lt;&gt;"Complete",TODAY()&gt;F7),"Overdue",IF(G7=1,"Complete","On Track"))</x:f>
        <x:v>Overdue</x:v>
      </x:c>
    </x:row>
    <x:row r="8">
      <x:c r="A8" s="51" t="str">
        <x:v>4.0</x:v>
      </x:c>
      <x:c r="B8" s="46" t="str">
        <x:v>Procurement and bench assembly</x:v>
      </x:c>
      <x:c r="C8" s="46" t="str">
        <x:v>Hardware</x:v>
      </x:c>
      <x:c r="D8" s="46" t="str">
        <x:v>IoT Lead</x:v>
      </x:c>
      <x:c r="E8" s="65" t="n">
        <x:v>46183</x:v>
      </x:c>
      <x:c r="F8" s="65" t="n">
        <x:v>46203</x:v>
      </x:c>
      <x:c r="G8" s="77" t="n">
        <x:v>0.5</x:v>
      </x:c>
      <x:c r="H8" s="46" t="str">
        <x:v>In Progress</x:v>
      </x:c>
      <x:c r="I8" s="46" t="str">
        <x:v>G2</x:v>
      </x:c>
      <x:c r="J8" s="46" t="str">
        <x:v>Revised BOM, safe wiring and inventory</x:v>
      </x:c>
      <x:c r="K8" s="71" t="n">
        <x:f>F8-E8+1</x:f>
        <x:v>21</x:v>
      </x:c>
      <x:c r="L8" s="52" t="str">
        <x:f>IF(AND(H8&lt;&gt;"Complete",TODAY()&gt;F8),"Overdue",IF(G8=1,"Complete","On Track"))</x:f>
        <x:v>Overdue</x:v>
      </x:c>
    </x:row>
    <x:row r="9">
      <x:c r="A9" s="51" t="str">
        <x:v>5.0</x:v>
      </x:c>
      <x:c r="B9" s="46" t="str">
        <x:v>Laravel backend foundation</x:v>
      </x:c>
      <x:c r="C9" s="46" t="str">
        <x:v>Build</x:v>
      </x:c>
      <x:c r="D9" s="46" t="str">
        <x:v>Backend Lead</x:v>
      </x:c>
      <x:c r="E9" s="65" t="n">
        <x:v>46193</x:v>
      </x:c>
      <x:c r="F9" s="65" t="n">
        <x:v>46218</x:v>
      </x:c>
      <x:c r="G9" s="77" t="n">
        <x:v>0.2</x:v>
      </x:c>
      <x:c r="H9" s="46" t="str">
        <x:v>In Progress</x:v>
      </x:c>
      <x:c r="I9" s="46" t="str">
        <x:v>G3</x:v>
      </x:c>
      <x:c r="J9" s="46" t="str">
        <x:v>Auth, data model, ingestion and simulator</x:v>
      </x:c>
      <x:c r="K9" s="71" t="n">
        <x:f>F9-E9+1</x:f>
        <x:v>26</x:v>
      </x:c>
      <x:c r="L9" s="52" t="str">
        <x:f>IF(AND(H9&lt;&gt;"Complete",TODAY()&gt;F9),"Overdue",IF(G9=1,"Complete","On Track"))</x:f>
        <x:v>On Track</x:v>
      </x:c>
    </x:row>
    <x:row r="10">
      <x:c r="A10" s="51" t="str">
        <x:v>6.0</x:v>
      </x:c>
      <x:c r="B10" s="46" t="str">
        <x:v>ESP32 firmware and meters</x:v>
      </x:c>
      <x:c r="C10" s="46" t="str">
        <x:v>Build</x:v>
      </x:c>
      <x:c r="D10" s="46" t="str">
        <x:v>IoT Lead</x:v>
      </x:c>
      <x:c r="E10" s="65" t="n">
        <x:v>46204</x:v>
      </x:c>
      <x:c r="F10" s="65" t="n">
        <x:v>46228</x:v>
      </x:c>
      <x:c r="G10" s="77" t="n">
        <x:v>0.1</x:v>
      </x:c>
      <x:c r="H10" s="46" t="str">
        <x:v>Not Started</x:v>
      </x:c>
      <x:c r="I10" s="46" t="str">
        <x:v>G3</x:v>
      </x:c>
      <x:c r="J10" s="46" t="str">
        <x:v>Safety state machine, telemetry, buffer and calibration</x:v>
      </x:c>
      <x:c r="K10" s="71" t="n">
        <x:f>F10-E10+1</x:f>
        <x:v>25</x:v>
      </x:c>
      <x:c r="L10" s="52" t="str">
        <x:f>IF(AND(H10&lt;&gt;"Complete",TODAY()&gt;F10),"Overdue",IF(G10=1,"Complete","On Track"))</x:f>
        <x:v>On Track</x:v>
      </x:c>
    </x:row>
    <x:row r="11">
      <x:c r="A11" s="51" t="str">
        <x:v>7.0</x:v>
      </x:c>
      <x:c r="B11" s="46" t="str">
        <x:v>Flutter Khmer application</x:v>
      </x:c>
      <x:c r="C11" s="46" t="str">
        <x:v>Build</x:v>
      </x:c>
      <x:c r="D11" s="46" t="str">
        <x:v>Mobile Lead</x:v>
      </x:c>
      <x:c r="E11" s="65" t="n">
        <x:v>46204</x:v>
      </x:c>
      <x:c r="F11" s="65" t="n">
        <x:v>46231</x:v>
      </x:c>
      <x:c r="G11" s="77" t="n">
        <x:v>0.1</x:v>
      </x:c>
      <x:c r="H11" s="46" t="str">
        <x:v>Not Started</x:v>
      </x:c>
      <x:c r="I11" s="46" t="str">
        <x:v>G3</x:v>
      </x:c>
      <x:c r="J11" s="46" t="str">
        <x:v>Auth, dashboard, irrigation, history, cache</x:v>
      </x:c>
      <x:c r="K11" s="71" t="n">
        <x:f>F11-E11+1</x:f>
        <x:v>28</x:v>
      </x:c>
      <x:c r="L11" s="52" t="str">
        <x:f>IF(AND(H11&lt;&gt;"Complete",TODAY()&gt;F11),"Overdue",IF(G11=1,"Complete","On Track"))</x:f>
        <x:v>On Track</x:v>
      </x:c>
    </x:row>
    <x:row r="12">
      <x:c r="A12" s="51" t="str">
        <x:v>8.0</x:v>
      </x:c>
      <x:c r="B12" s="46" t="str">
        <x:v>AI dataset and inference</x:v>
      </x:c>
      <x:c r="C12" s="46" t="str">
        <x:v>Build</x:v>
      </x:c>
      <x:c r="D12" s="46" t="str">
        <x:v>AI Lead</x:v>
      </x:c>
      <x:c r="E12" s="65" t="n">
        <x:v>46188</x:v>
      </x:c>
      <x:c r="F12" s="65" t="n">
        <x:v>46231</x:v>
      </x:c>
      <x:c r="G12" s="77" t="n">
        <x:v>0.15</x:v>
      </x:c>
      <x:c r="H12" s="46" t="str">
        <x:v>In Progress</x:v>
      </x:c>
      <x:c r="I12" s="46" t="str">
        <x:v>G3</x:v>
      </x:c>
      <x:c r="J12" s="46" t="str">
        <x:v>Dataset, model, validation and service</x:v>
      </x:c>
      <x:c r="K12" s="71" t="n">
        <x:f>F12-E12+1</x:f>
        <x:v>44</x:v>
      </x:c>
      <x:c r="L12" s="52" t="str">
        <x:f>IF(AND(H12&lt;&gt;"Complete",TODAY()&gt;F12),"Overdue",IF(G12=1,"Complete","On Track"))</x:f>
        <x:v>On Track</x:v>
      </x:c>
    </x:row>
    <x:row r="13">
      <x:c r="A13" s="51" t="str">
        <x:v>9.0</x:v>
      </x:c>
      <x:c r="B13" s="46" t="str">
        <x:v>Integration and system testing</x:v>
      </x:c>
      <x:c r="C13" s="46" t="str">
        <x:v>Validation</x:v>
      </x:c>
      <x:c r="D13" s="46" t="str">
        <x:v>QA Lead</x:v>
      </x:c>
      <x:c r="E13" s="65" t="n">
        <x:v>46223</x:v>
      </x:c>
      <x:c r="F13" s="65" t="n">
        <x:v>46244</x:v>
      </x:c>
      <x:c r="G13" s="77" t="n">
        <x:v>0</x:v>
      </x:c>
      <x:c r="H13" s="46" t="str">
        <x:v>Not Started</x:v>
      </x:c>
      <x:c r="I13" s="46" t="str">
        <x:v>G4</x:v>
      </x:c>
      <x:c r="J13" s="46" t="str">
        <x:v>Integrated RC and release tests</x:v>
      </x:c>
      <x:c r="K13" s="71" t="n">
        <x:f>F13-E13+1</x:f>
        <x:v>22</x:v>
      </x:c>
      <x:c r="L13" s="52" t="str">
        <x:f>IF(AND(H13&lt;&gt;"Complete",TODAY()&gt;F13),"Overdue",IF(G13=1,"Complete","On Track"))</x:f>
        <x:v>On Track</x:v>
      </x:c>
    </x:row>
    <x:row r="14">
      <x:c r="A14" s="51" t="str">
        <x:v>10.0</x:v>
      </x:c>
      <x:c r="B14" s="46" t="str">
        <x:v>Field pilot and UAT</x:v>
      </x:c>
      <x:c r="C14" s="46" t="str">
        <x:v>Pilot</x:v>
      </x:c>
      <x:c r="D14" s="46" t="str">
        <x:v>PM / Product Owner</x:v>
      </x:c>
      <x:c r="E14" s="65" t="n">
        <x:v>46245</x:v>
      </x:c>
      <x:c r="F14" s="65" t="n">
        <x:v>46258</x:v>
      </x:c>
      <x:c r="G14" s="77" t="n">
        <x:v>0</x:v>
      </x:c>
      <x:c r="H14" s="46" t="str">
        <x:v>Not Started</x:v>
      </x:c>
      <x:c r="I14" s="46" t="str">
        <x:v>G5</x:v>
      </x:c>
      <x:c r="J14" s="46" t="str">
        <x:v>Pilot evidence and acceptance</x:v>
      </x:c>
      <x:c r="K14" s="71" t="n">
        <x:f>F14-E14+1</x:f>
        <x:v>14</x:v>
      </x:c>
      <x:c r="L14" s="52" t="str">
        <x:f>IF(AND(H14&lt;&gt;"Complete",TODAY()&gt;F14),"Overdue",IF(G14=1,"Complete","On Track"))</x:f>
        <x:v>On Track</x:v>
      </x:c>
    </x:row>
    <x:row r="15">
      <x:c r="A15" s="53" t="str">
        <x:v>11.0</x:v>
      </x:c>
      <x:c r="B15" s="54" t="str">
        <x:v>Final presentation and closure</x:v>
      </x:c>
      <x:c r="C15" s="54" t="str">
        <x:v>Closure</x:v>
      </x:c>
      <x:c r="D15" s="54" t="str">
        <x:v>Project Manager</x:v>
      </x:c>
      <x:c r="E15" s="66" t="n">
        <x:v>46259</x:v>
      </x:c>
      <x:c r="F15" s="66" t="n">
        <x:v>46265</x:v>
      </x:c>
      <x:c r="G15" s="78" t="n">
        <x:v>0</x:v>
      </x:c>
      <x:c r="H15" s="54" t="str">
        <x:v>Not Started</x:v>
      </x:c>
      <x:c r="I15" s="54" t="str">
        <x:v>G6</x:v>
      </x:c>
      <x:c r="J15" s="54" t="str">
        <x:v>Handover, benefits and closure</x:v>
      </x:c>
      <x:c r="K15" s="72" t="n">
        <x:f>F15-E15+1</x:f>
        <x:v>7</x:v>
      </x:c>
      <x:c r="L15" s="55" t="str">
        <x:f>IF(AND(H15&lt;&gt;"Complete",TODAY()&gt;F15),"Overdue",IF(G15=1,"Complete","On Track"))</x:f>
        <x:v>On Track</x:v>
      </x:c>
    </x:row>
  </x:sheetData>
  <x:mergeCells>
    <x:mergeCell ref="A1:M1"/>
    <x:mergeCell ref="A2:M2"/>
  </x:mergeCells>
  <x:conditionalFormatting sqref="H5:H15">
    <x:cfRule type="expression" dxfId="9" priority="1">
      <x:formula>H5="Complete"</x:formula>
    </x:cfRule>
    <x:cfRule type="expression" dxfId="10" priority="2">
      <x:formula>H5="In Progress"</x:formula>
    </x:cfRule>
    <x:cfRule type="expression" dxfId="11" priority="3">
      <x:formula>H5="Blocked"</x:formula>
    </x:cfRule>
    <x:cfRule type="expression" dxfId="12" priority="4">
      <x:formula>H5="Not Started"</x:formula>
    </x:cfRule>
  </x:conditionalFormatting>
  <x:conditionalFormatting sqref="L5:L15">
    <x:cfRule type="expression" dxfId="13" priority="5">
      <x:formula>L5="Overdue"</x:formula>
    </x:cfRule>
  </x:conditionalFormatting>
  <x:dataValidations count="1">
    <x:dataValidation type="list" sqref="H5:H15">
      <x:formula1>"Not Started,In Progress,Complete,Blocked,Deferred"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0d06c16d29487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2" hidden="0" customWidth="1"/>
    <x:col min="4" max="4" width="16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38" hidden="0" customWidth="1"/>
    <x:col min="10" max="10" width="14" hidden="0" customWidth="1"/>
  </x:cols>
  <x:sheetData>
    <x:row r="1" ht="30" customHeight="1">
      <x:c r="A1" s="33" t="str">
        <x:v>Budget, Procurement and Bill of Materials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8" customHeight="1">
      <x:c r="A2" s="40" t="str">
        <x:v>Original estimate is preserved; revised measurement/safety items require approved cost baseline.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4" ht="30" customHeight="1">
      <x:c r="A4" s="13" t="str">
        <x:v>Item ID</x:v>
      </x:c>
      <x:c r="B4" s="14" t="str">
        <x:v>Item</x:v>
      </x:c>
      <x:c r="C4" s="14" t="str">
        <x:v>Qty</x:v>
      </x:c>
      <x:c r="D4" s="14" t="str">
        <x:v>Original Estimate</x:v>
      </x:c>
      <x:c r="E4" s="14" t="str">
        <x:v>Revised Plan</x:v>
      </x:c>
      <x:c r="F4" s="14" t="str">
        <x:v>Baseline Type</x:v>
      </x:c>
      <x:c r="G4" s="14" t="str">
        <x:v>Owner</x:v>
      </x:c>
      <x:c r="H4" s="14" t="str">
        <x:v>Procurement Status</x:v>
      </x:c>
      <x:c r="I4" s="14" t="str">
        <x:v>Control Note</x:v>
      </x:c>
      <x:c r="J4" s="15" t="str">
        <x:v>Variance</x:v>
      </x:c>
    </x:row>
    <x:row r="5">
      <x:c r="A5" s="48" t="str">
        <x:v>BOM-01</x:v>
      </x:c>
      <x:c r="B5" s="49" t="str">
        <x:v>ESP32 development board</x:v>
      </x:c>
      <x:c r="C5" s="49" t="str">
        <x:v>1</x:v>
      </x:c>
      <x:c r="D5" s="82" t="n">
        <x:v>7</x:v>
      </x:c>
      <x:c r="E5" s="82" t="n">
        <x:v>7</x:v>
      </x:c>
      <x:c r="F5" s="49" t="str">
        <x:v>Original</x:v>
      </x:c>
      <x:c r="G5" s="49" t="str">
        <x:v>IoT Lead</x:v>
      </x:c>
      <x:c r="H5" s="49" t="str">
        <x:v>Planned</x:v>
      </x:c>
      <x:c r="I5" s="49" t="str"/>
      <x:c r="J5" s="88" t="n">
        <x:f>E5-D5</x:f>
        <x:v>0</x:v>
      </x:c>
    </x:row>
    <x:row r="6">
      <x:c r="A6" s="51" t="str">
        <x:v>BOM-02</x:v>
      </x:c>
      <x:c r="B6" s="46" t="str">
        <x:v>ESP32-CAM + stable power</x:v>
      </x:c>
      <x:c r="C6" s="46" t="str">
        <x:v>1</x:v>
      </x:c>
      <x:c r="D6" s="83" t="n">
        <x:v>12</x:v>
      </x:c>
      <x:c r="E6" s="83" t="n">
        <x:v>15</x:v>
      </x:c>
      <x:c r="F6" s="46" t="str">
        <x:v>Revised</x:v>
      </x:c>
      <x:c r="G6" s="46" t="str">
        <x:v>IoT Lead</x:v>
      </x:c>
      <x:c r="H6" s="46" t="str">
        <x:v>Planned</x:v>
      </x:c>
      <x:c r="I6" s="46" t="str">
        <x:v>Power capacity validation</x:v>
      </x:c>
      <x:c r="J6" s="89" t="n">
        <x:f>E6-D6</x:f>
        <x:v>3</x:v>
      </x:c>
    </x:row>
    <x:row r="7">
      <x:c r="A7" s="51" t="str">
        <x:v>BOM-03</x:v>
      </x:c>
      <x:c r="B7" s="46" t="str">
        <x:v>Capacitive soil moisture sensors</x:v>
      </x:c>
      <x:c r="C7" s="46" t="str">
        <x:v>2</x:v>
      </x:c>
      <x:c r="D7" s="83" t="n">
        <x:v>2</x:v>
      </x:c>
      <x:c r="E7" s="83" t="n">
        <x:v>4</x:v>
      </x:c>
      <x:c r="F7" s="46" t="str">
        <x:v>Original</x:v>
      </x:c>
      <x:c r="G7" s="46" t="str">
        <x:v>IoT Lead</x:v>
      </x:c>
      <x:c r="H7" s="46" t="str">
        <x:v>Planned</x:v>
      </x:c>
      <x:c r="I7" s="46" t="str">
        <x:v>Corrosion-resistant preferred</x:v>
      </x:c>
      <x:c r="J7" s="89" t="n">
        <x:f>E7-D7</x:f>
        <x:v>2</x:v>
      </x:c>
    </x:row>
    <x:row r="8">
      <x:c r="A8" s="51" t="str">
        <x:v>BOM-04</x:v>
      </x:c>
      <x:c r="B8" s="46" t="str">
        <x:v>DHT22</x:v>
      </x:c>
      <x:c r="C8" s="46" t="str">
        <x:v>1</x:v>
      </x:c>
      <x:c r="D8" s="83" t="n">
        <x:v>4.5</x:v>
      </x:c>
      <x:c r="E8" s="83" t="n">
        <x:v>4.5</x:v>
      </x:c>
      <x:c r="F8" s="46" t="str">
        <x:v>Original</x:v>
      </x:c>
      <x:c r="G8" s="46" t="str">
        <x:v>IoT Lead</x:v>
      </x:c>
      <x:c r="H8" s="46" t="str">
        <x:v>Planned</x:v>
      </x:c>
      <x:c r="I8" s="46" t="str"/>
      <x:c r="J8" s="89" t="n">
        <x:f>E8-D8</x:f>
        <x:v>0</x:v>
      </x:c>
    </x:row>
    <x:row r="9">
      <x:c r="A9" s="51" t="str">
        <x:v>BOM-05</x:v>
      </x:c>
      <x:c r="B9" s="46" t="str">
        <x:v>LDR + servo</x:v>
      </x:c>
      <x:c r="C9" s="46" t="str">
        <x:v>1 set</x:v>
      </x:c>
      <x:c r="D9" s="83" t="n">
        <x:v>6</x:v>
      </x:c>
      <x:c r="E9" s="83" t="n">
        <x:v>6</x:v>
      </x:c>
      <x:c r="F9" s="46" t="str">
        <x:v>Original</x:v>
      </x:c>
      <x:c r="G9" s="46" t="str">
        <x:v>IoT Lead</x:v>
      </x:c>
      <x:c r="H9" s="46" t="str">
        <x:v>Planned</x:v>
      </x:c>
      <x:c r="I9" s="46" t="str">
        <x:v>Mechanical limit test</x:v>
      </x:c>
      <x:c r="J9" s="89" t="n">
        <x:f>E9-D9</x:f>
        <x:v>0</x:v>
      </x:c>
    </x:row>
    <x:row r="10">
      <x:c r="A10" s="51" t="str">
        <x:v>BOM-06</x:v>
      </x:c>
      <x:c r="B10" s="46" t="str">
        <x:v>Relay + pump + fan</x:v>
      </x:c>
      <x:c r="C10" s="46" t="str">
        <x:v>1 set</x:v>
      </x:c>
      <x:c r="D10" s="83" t="n">
        <x:v>20</x:v>
      </x:c>
      <x:c r="E10" s="83" t="n">
        <x:v>20</x:v>
      </x:c>
      <x:c r="F10" s="46" t="str">
        <x:v>Original</x:v>
      </x:c>
      <x:c r="G10" s="46" t="str">
        <x:v>IoT Lead</x:v>
      </x:c>
      <x:c r="H10" s="46" t="str">
        <x:v>Planned</x:v>
      </x:c>
      <x:c r="I10" s="46" t="str">
        <x:v>Rating/isolation review</x:v>
      </x:c>
      <x:c r="J10" s="89" t="n">
        <x:f>E10-D10</x:f>
        <x:v>0</x:v>
      </x:c>
    </x:row>
    <x:row r="11">
      <x:c r="A11" s="51" t="str">
        <x:v>BOM-07</x:v>
      </x:c>
      <x:c r="B11" s="46" t="str">
        <x:v>Water-flow meter</x:v>
      </x:c>
      <x:c r="C11" s="46" t="str">
        <x:v>1</x:v>
      </x:c>
      <x:c r="D11" s="83" t="n">
        <x:v>0</x:v>
      </x:c>
      <x:c r="E11" s="83" t="n">
        <x:v>15</x:v>
      </x:c>
      <x:c r="F11" s="46" t="str">
        <x:v>Added</x:v>
      </x:c>
      <x:c r="G11" s="46" t="str">
        <x:v>IoT Lead</x:v>
      </x:c>
      <x:c r="H11" s="46" t="str">
        <x:v>Planned</x:v>
      </x:c>
      <x:c r="I11" s="46" t="str">
        <x:v>Mandatory for actual m³</x:v>
      </x:c>
      <x:c r="J11" s="89" t="n">
        <x:f>E11-D11</x:f>
        <x:v>15</x:v>
      </x:c>
    </x:row>
    <x:row r="12">
      <x:c r="A12" s="51" t="str">
        <x:v>BOM-08</x:v>
      </x:c>
      <x:c r="B12" s="46" t="str">
        <x:v>Isolated energy meter</x:v>
      </x:c>
      <x:c r="C12" s="46" t="str">
        <x:v>1</x:v>
      </x:c>
      <x:c r="D12" s="83" t="n">
        <x:v>0</x:v>
      </x:c>
      <x:c r="E12" s="83" t="n">
        <x:v>25</x:v>
      </x:c>
      <x:c r="F12" s="46" t="str">
        <x:v>Added</x:v>
      </x:c>
      <x:c r="G12" s="46" t="str">
        <x:v>IoT Lead</x:v>
      </x:c>
      <x:c r="H12" s="46" t="str">
        <x:v>Planned</x:v>
      </x:c>
      <x:c r="I12" s="46" t="str">
        <x:v>Mandatory for actual kWh</x:v>
      </x:c>
      <x:c r="J12" s="89" t="n">
        <x:f>E12-D12</x:f>
        <x:v>25</x:v>
      </x:c>
    </x:row>
    <x:row r="13">
      <x:c r="A13" s="51" t="str">
        <x:v>BOM-09</x:v>
      </x:c>
      <x:c r="B13" s="46" t="str">
        <x:v>Enclosure, fuse, glands, connectors, PCB/wiring</x:v>
      </x:c>
      <x:c r="C13" s="46" t="str">
        <x:v>1 lot</x:v>
      </x:c>
      <x:c r="D13" s="83" t="n">
        <x:v>30</x:v>
      </x:c>
      <x:c r="E13" s="83" t="n">
        <x:v>40</x:v>
      </x:c>
      <x:c r="F13" s="46" t="str">
        <x:v>Revised</x:v>
      </x:c>
      <x:c r="G13" s="46" t="str">
        <x:v>IoT Lead</x:v>
      </x:c>
      <x:c r="H13" s="46" t="str">
        <x:v>Planned</x:v>
      </x:c>
      <x:c r="I13" s="46" t="str">
        <x:v>Safety contingency</x:v>
      </x:c>
      <x:c r="J13" s="89" t="n">
        <x:f>E13-D13</x:f>
        <x:v>10</x:v>
      </x:c>
    </x:row>
    <x:row r="14">
      <x:c r="A14" s="51" t="str">
        <x:v>BOM-10</x:v>
      </x:c>
      <x:c r="B14" s="46" t="str">
        <x:v>Mobile app / pilot cloud services</x:v>
      </x:c>
      <x:c r="C14" s="46" t="str">
        <x:v>Allowance</x:v>
      </x:c>
      <x:c r="D14" s="83" t="n">
        <x:v>20</x:v>
      </x:c>
      <x:c r="E14" s="83" t="n">
        <x:v>20</x:v>
      </x:c>
      <x:c r="F14" s="46" t="str">
        <x:v>Original</x:v>
      </x:c>
      <x:c r="G14" s="46" t="str">
        <x:v>Operations Lead</x:v>
      </x:c>
      <x:c r="H14" s="46" t="str">
        <x:v>Planned</x:v>
      </x:c>
      <x:c r="I14" s="46" t="str">
        <x:v>Track expiry/recurring cost</x:v>
      </x:c>
      <x:c r="J14" s="89" t="n">
        <x:f>E14-D14</x:f>
        <x:v>0</x:v>
      </x:c>
    </x:row>
    <x:row r="15">
      <x:c r="A15" s="53" t="str">
        <x:v>BOM-11</x:v>
      </x:c>
      <x:c r="B15" s="54" t="str">
        <x:v>Project contingency</x:v>
      </x:c>
      <x:c r="C15" s="54" t="str">
        <x:v>10%</x:v>
      </x:c>
      <x:c r="D15" s="84" t="n">
        <x:v>0</x:v>
      </x:c>
      <x:c r="E15" s="84" t="n">
        <x:v>15</x:v>
      </x:c>
      <x:c r="F15" s="54" t="str">
        <x:v>Added</x:v>
      </x:c>
      <x:c r="G15" s="54" t="str">
        <x:v>Project Manager</x:v>
      </x:c>
      <x:c r="H15" s="54" t="str">
        <x:v>Planned</x:v>
      </x:c>
      <x:c r="I15" s="54" t="str">
        <x:v>Sponsor approval for use</x:v>
      </x:c>
      <x:c r="J15" s="90" t="n">
        <x:f>E15-D15</x:f>
        <x:v>15</x:v>
      </x:c>
    </x:row>
    <x:row r="17">
      <x:c r="A17" s="13" t="str">
        <x:v>Totals</x:v>
      </x:c>
      <x:c r="B17" s="14"/>
      <x:c r="C17" s="15"/>
      <x:c r="D17" s="96" t="n">
        <x:f>SUM(D5:D15)</x:f>
        <x:v>101.5</x:v>
      </x:c>
      <x:c r="E17" s="96" t="n">
        <x:f>SUM(E5:E15)</x:f>
        <x:v>171.5</x:v>
      </x:c>
      <x:c r="F17" s="96"/>
      <x:c r="G17" s="96"/>
      <x:c r="H17" s="96"/>
      <x:c r="I17" s="96"/>
      <x:c r="J17" s="96" t="n">
        <x:f>SUM(J5:J15)</x:f>
        <x:v>70</x:v>
      </x:c>
    </x:row>
  </x:sheetData>
  <x:mergeCells>
    <x:mergeCell ref="A1:K1"/>
    <x:mergeCell ref="A2:K2"/>
    <x:mergeCell ref="A17:C17"/>
  </x:mergeCells>
  <x:dataValidations count="1">
    <x:dataValidation type="list" sqref="H5:H15">
      <x:formula1>"Planned,Quoted,Ordered,Received,Rejected,Installed"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8498f5a88c477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2" hidden="0" customWidth="1"/>
    <x:col min="4" max="4" width="12" hidden="0" customWidth="1"/>
    <x:col min="5" max="5" width="46" hidden="0" customWidth="1"/>
    <x:col min="6" max="6" width="34" hidden="0" customWidth="1"/>
    <x:col min="7" max="7" width="20" hidden="0" customWidth="1"/>
    <x:col min="8" max="8" width="14" hidden="0" customWidth="1"/>
  </x:cols>
  <x:sheetData>
    <x:row r="1" ht="30" customHeight="1">
      <x:c r="A1" s="33" t="str">
        <x:v>Stakeholder Register</x:v>
      </x:c>
      <x:c r="B1" s="33"/>
      <x:c r="C1" s="33"/>
      <x:c r="D1" s="33"/>
      <x:c r="E1" s="33"/>
      <x:c r="F1" s="33"/>
      <x:c r="G1" s="33"/>
      <x:c r="H1" s="33"/>
      <x:c r="I1" s="33"/>
      <x:c r="J1" s="33"/>
    </x:row>
    <x:row r="2" ht="38" customHeight="1">
      <x:c r="A2" s="40" t="str">
        <x:v>Engagement and communication ownership.</x:v>
      </x:c>
      <x:c r="B2" s="40"/>
      <x:c r="C2" s="40"/>
      <x:c r="D2" s="40"/>
      <x:c r="E2" s="40"/>
      <x:c r="F2" s="40"/>
      <x:c r="G2" s="40"/>
      <x:c r="H2" s="40"/>
      <x:c r="I2" s="40"/>
      <x:c r="J2" s="40"/>
    </x:row>
    <x:row r="4" ht="30" customHeight="1">
      <x:c r="A4" s="13" t="str">
        <x:v>ID</x:v>
      </x:c>
      <x:c r="B4" s="14" t="str">
        <x:v>Stakeholder</x:v>
      </x:c>
      <x:c r="C4" s="14" t="str">
        <x:v>Interest</x:v>
      </x:c>
      <x:c r="D4" s="14" t="str">
        <x:v>Influence</x:v>
      </x:c>
      <x:c r="E4" s="14" t="str">
        <x:v>Need / Expectation</x:v>
      </x:c>
      <x:c r="F4" s="14" t="str">
        <x:v>Engagement</x:v>
      </x:c>
      <x:c r="G4" s="14" t="str">
        <x:v>Owner</x:v>
      </x:c>
      <x:c r="H4" s="15" t="str">
        <x:v>Status</x:v>
      </x:c>
    </x:row>
    <x:row r="5">
      <x:c r="A5" s="48" t="str">
        <x:v>STK-01</x:v>
      </x:c>
      <x:c r="B5" s="49" t="str">
        <x:v>Project Sponsor / Academic Supervisor</x:v>
      </x:c>
      <x:c r="C5" s="49" t="str">
        <x:v>High</x:v>
      </x:c>
      <x:c r="D5" s="49" t="str">
        <x:v>High</x:v>
      </x:c>
      <x:c r="E5" s="49" t="str">
        <x:v>Approve scope, budget, gates and closure</x:v>
      </x:c>
      <x:c r="F5" s="49" t="str">
        <x:v>Gate meetings; weekly status</x:v>
      </x:c>
      <x:c r="G5" s="49" t="str">
        <x:v>Project Manager</x:v>
      </x:c>
      <x:c r="H5" s="50" t="str">
        <x:v>Active</x:v>
      </x:c>
    </x:row>
    <x:row r="6">
      <x:c r="A6" s="51" t="str">
        <x:v>STK-02</x:v>
      </x:c>
      <x:c r="B6" s="46" t="str">
        <x:v>Farmer / Net-house Operator</x:v>
      </x:c>
      <x:c r="C6" s="46" t="str">
        <x:v>High</x:v>
      </x:c>
      <x:c r="D6" s="46" t="str">
        <x:v>High</x:v>
      </x:c>
      <x:c r="E6" s="46" t="str">
        <x:v>Safe Khmer workflow, reliable irrigation and useful data</x:v>
      </x:c>
      <x:c r="F6" s="46" t="str">
        <x:v>Co-design, demo, training, UAT</x:v>
      </x:c>
      <x:c r="G6" s="46" t="str">
        <x:v>Product Owner</x:v>
      </x:c>
      <x:c r="H6" s="52" t="str">
        <x:v>Active</x:v>
      </x:c>
    </x:row>
    <x:row r="7">
      <x:c r="A7" s="51" t="str">
        <x:v>STK-03</x:v>
      </x:c>
      <x:c r="B7" s="46" t="str">
        <x:v>Project Team</x:v>
      </x:c>
      <x:c r="C7" s="46" t="str">
        <x:v>High</x:v>
      </x:c>
      <x:c r="D7" s="46" t="str">
        <x:v>High</x:v>
      </x:c>
      <x:c r="E7" s="46" t="str">
        <x:v>Clear scope, interfaces, decisions and priorities</x:v>
      </x:c>
      <x:c r="F7" s="46" t="str">
        <x:v>Daily/iteration coordination</x:v>
      </x:c>
      <x:c r="G7" s="46" t="str">
        <x:v>Project Manager</x:v>
      </x:c>
      <x:c r="H7" s="52" t="str">
        <x:v>Active</x:v>
      </x:c>
    </x:row>
    <x:row r="8">
      <x:c r="A8" s="51" t="str">
        <x:v>STK-04</x:v>
      </x:c>
      <x:c r="B8" s="46" t="str">
        <x:v>Technical / Architecture Lead</x:v>
      </x:c>
      <x:c r="C8" s="46" t="str">
        <x:v>High</x:v>
      </x:c>
      <x:c r="D8" s="46" t="str">
        <x:v>High</x:v>
      </x:c>
      <x:c r="E8" s="46" t="str">
        <x:v>Secure, maintainable and testable design</x:v>
      </x:c>
      <x:c r="F8" s="46" t="str">
        <x:v>Architecture reviews and ADRs</x:v>
      </x:c>
      <x:c r="G8" s="46" t="str">
        <x:v>Technical Lead</x:v>
      </x:c>
      <x:c r="H8" s="52" t="str">
        <x:v>Active</x:v>
      </x:c>
    </x:row>
    <x:row r="9">
      <x:c r="A9" s="51" t="str">
        <x:v>STK-05</x:v>
      </x:c>
      <x:c r="B9" s="46" t="str">
        <x:v>Suppliers / Cloud Providers</x:v>
      </x:c>
      <x:c r="C9" s="46" t="str">
        <x:v>Medium</x:v>
      </x:c>
      <x:c r="D9" s="46" t="str">
        <x:v>Medium</x:v>
      </x:c>
      <x:c r="E9" s="46" t="str">
        <x:v>Clear specs, order and service constraints</x:v>
      </x:c>
      <x:c r="F9" s="46" t="str">
        <x:v>Procurement/expiry tracking</x:v>
      </x:c>
      <x:c r="G9" s="46" t="str">
        <x:v>Operations Lead</x:v>
      </x:c>
      <x:c r="H9" s="52" t="str">
        <x:v>Active</x:v>
      </x:c>
    </x:row>
    <x:row r="10">
      <x:c r="A10" s="51" t="str">
        <x:v>STK-06</x:v>
      </x:c>
      <x:c r="B10" s="46" t="str">
        <x:v>Institution / Program Partners</x:v>
      </x:c>
      <x:c r="C10" s="46" t="str">
        <x:v>Medium</x:v>
      </x:c>
      <x:c r="D10" s="46" t="str">
        <x:v>Medium</x:v>
      </x:c>
      <x:c r="E10" s="46" t="str">
        <x:v>Evidence, learning and reporting</x:v>
      </x:c>
      <x:c r="F10" s="46" t="str">
        <x:v>Milestone/final reports</x:v>
      </x:c>
      <x:c r="G10" s="46" t="str">
        <x:v>Sponsor</x:v>
      </x:c>
      <x:c r="H10" s="52" t="str">
        <x:v>Active</x:v>
      </x:c>
    </x:row>
    <x:row r="11">
      <x:c r="A11" s="53" t="str">
        <x:v>STK-07</x:v>
      </x:c>
      <x:c r="B11" s="54" t="str">
        <x:v>Future Support Owner</x:v>
      </x:c>
      <x:c r="C11" s="54" t="str">
        <x:v>High</x:v>
      </x:c>
      <x:c r="D11" s="54" t="str">
        <x:v>Medium</x:v>
      </x:c>
      <x:c r="E11" s="54" t="str">
        <x:v>Operability, documentation and handover</x:v>
      </x:c>
      <x:c r="F11" s="54" t="str">
        <x:v>Ops review and runbook rehearsal</x:v>
      </x:c>
      <x:c r="G11" s="54" t="str">
        <x:v>Operations Lead</x:v>
      </x:c>
      <x:c r="H11" s="55" t="str">
        <x:v>Planned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efa5f34834a47e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</x:cols>
  <x:sheetData>
    <x:row r="1" ht="30" customHeight="1">
      <x:c r="A1" s="33" t="str">
        <x:v>RACI Responsibility Matrix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</x:row>
    <x:row r="2" ht="38" customHeight="1">
      <x:c r="A2" s="40" t="str">
        <x:v>R=Responsible, A=Accountable, C=Consulted, I=Informed.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</x:row>
    <x:row r="4" ht="30" customHeight="1">
      <x:c r="A4" s="13" t="str">
        <x:v>Activity</x:v>
      </x:c>
      <x:c r="B4" s="14" t="str">
        <x:v>Sponsor</x:v>
      </x:c>
      <x:c r="C4" s="14" t="str">
        <x:v>PM</x:v>
      </x:c>
      <x:c r="D4" s="14" t="str">
        <x:v>PO/Farmer</x:v>
      </x:c>
      <x:c r="E4" s="14" t="str">
        <x:v>Tech</x:v>
      </x:c>
      <x:c r="F4" s="14" t="str">
        <x:v>IoT</x:v>
      </x:c>
      <x:c r="G4" s="14" t="str">
        <x:v>Backend</x:v>
      </x:c>
      <x:c r="H4" s="14" t="str">
        <x:v>Mobile</x:v>
      </x:c>
      <x:c r="I4" s="14" t="str">
        <x:v>AI</x:v>
      </x:c>
      <x:c r="J4" s="14" t="str">
        <x:v>QA</x:v>
      </x:c>
      <x:c r="K4" s="15" t="str">
        <x:v>Ops</x:v>
      </x:c>
    </x:row>
    <x:row r="5">
      <x:c r="A5" s="48" t="str">
        <x:v>Approve charter/scope</x:v>
      </x:c>
      <x:c r="B5" s="49" t="str">
        <x:v>A</x:v>
      </x:c>
      <x:c r="C5" s="49" t="str">
        <x:v>R</x:v>
      </x:c>
      <x:c r="D5" s="49" t="str">
        <x:v>C</x:v>
      </x:c>
      <x:c r="E5" s="49" t="str">
        <x:v>C</x:v>
      </x:c>
      <x:c r="F5" s="49" t="str">
        <x:v>I</x:v>
      </x:c>
      <x:c r="G5" s="49" t="str">
        <x:v>I</x:v>
      </x:c>
      <x:c r="H5" s="49" t="str">
        <x:v>I</x:v>
      </x:c>
      <x:c r="I5" s="49" t="str">
        <x:v>I</x:v>
      </x:c>
      <x:c r="J5" s="49" t="str">
        <x:v>C</x:v>
      </x:c>
      <x:c r="K5" s="50" t="str">
        <x:v>I</x:v>
      </x:c>
    </x:row>
    <x:row r="6">
      <x:c r="A6" s="51" t="str">
        <x:v>Elicit/approve requirements</x:v>
      </x:c>
      <x:c r="B6" s="46" t="str">
        <x:v>I</x:v>
      </x:c>
      <x:c r="C6" s="46" t="str">
        <x:v>A</x:v>
      </x:c>
      <x:c r="D6" s="46" t="str">
        <x:v>R</x:v>
      </x:c>
      <x:c r="E6" s="46" t="str">
        <x:v>C</x:v>
      </x:c>
      <x:c r="F6" s="46" t="str">
        <x:v>C</x:v>
      </x:c>
      <x:c r="G6" s="46" t="str">
        <x:v>C</x:v>
      </x:c>
      <x:c r="H6" s="46" t="str">
        <x:v>C</x:v>
      </x:c>
      <x:c r="I6" s="46" t="str">
        <x:v>C</x:v>
      </x:c>
      <x:c r="J6" s="46" t="str">
        <x:v>C</x:v>
      </x:c>
      <x:c r="K6" s="52" t="str">
        <x:v>I</x:v>
      </x:c>
    </x:row>
    <x:row r="7">
      <x:c r="A7" s="51" t="str">
        <x:v>Approve architecture/security</x:v>
      </x:c>
      <x:c r="B7" s="46" t="str">
        <x:v>I</x:v>
      </x:c>
      <x:c r="C7" s="46" t="str">
        <x:v>C</x:v>
      </x:c>
      <x:c r="D7" s="46" t="str">
        <x:v>C</x:v>
      </x:c>
      <x:c r="E7" s="46" t="str">
        <x:v>A/R</x:v>
      </x:c>
      <x:c r="F7" s="46" t="str">
        <x:v>C</x:v>
      </x:c>
      <x:c r="G7" s="46" t="str">
        <x:v>R</x:v>
      </x:c>
      <x:c r="H7" s="46" t="str">
        <x:v>R</x:v>
      </x:c>
      <x:c r="I7" s="46" t="str">
        <x:v>R</x:v>
      </x:c>
      <x:c r="J7" s="46" t="str">
        <x:v>C</x:v>
      </x:c>
      <x:c r="K7" s="52" t="str">
        <x:v>C</x:v>
      </x:c>
    </x:row>
    <x:row r="8">
      <x:c r="A8" s="51" t="str">
        <x:v>Hardware safety/calibration</x:v>
      </x:c>
      <x:c r="B8" s="46" t="str">
        <x:v>I</x:v>
      </x:c>
      <x:c r="C8" s="46" t="str">
        <x:v>C</x:v>
      </x:c>
      <x:c r="D8" s="46" t="str">
        <x:v>C</x:v>
      </x:c>
      <x:c r="E8" s="46" t="str">
        <x:v>A</x:v>
      </x:c>
      <x:c r="F8" s="46" t="str">
        <x:v>R</x:v>
      </x:c>
      <x:c r="G8" s="46" t="str">
        <x:v>C</x:v>
      </x:c>
      <x:c r="H8" s="46" t="str">
        <x:v>I</x:v>
      </x:c>
      <x:c r="I8" s="46" t="str">
        <x:v>I</x:v>
      </x:c>
      <x:c r="J8" s="46" t="str">
        <x:v>R</x:v>
      </x:c>
      <x:c r="K8" s="52" t="str">
        <x:v>C</x:v>
      </x:c>
    </x:row>
    <x:row r="9">
      <x:c r="A9" s="51" t="str">
        <x:v>Backend implementation</x:v>
      </x:c>
      <x:c r="B9" s="46" t="str">
        <x:v>I</x:v>
      </x:c>
      <x:c r="C9" s="46" t="str">
        <x:v>I</x:v>
      </x:c>
      <x:c r="D9" s="46" t="str">
        <x:v>C</x:v>
      </x:c>
      <x:c r="E9" s="46" t="str">
        <x:v>A</x:v>
      </x:c>
      <x:c r="F9" s="46" t="str">
        <x:v>C</x:v>
      </x:c>
      <x:c r="G9" s="46" t="str">
        <x:v>R</x:v>
      </x:c>
      <x:c r="H9" s="46" t="str">
        <x:v>C</x:v>
      </x:c>
      <x:c r="I9" s="46" t="str">
        <x:v>C</x:v>
      </x:c>
      <x:c r="J9" s="46" t="str">
        <x:v>C</x:v>
      </x:c>
      <x:c r="K9" s="52" t="str">
        <x:v>C</x:v>
      </x:c>
    </x:row>
    <x:row r="10">
      <x:c r="A10" s="51" t="str">
        <x:v>Mobile implementation/UX</x:v>
      </x:c>
      <x:c r="B10" s="46" t="str">
        <x:v>I</x:v>
      </x:c>
      <x:c r="C10" s="46" t="str">
        <x:v>I</x:v>
      </x:c>
      <x:c r="D10" s="46" t="str">
        <x:v>C</x:v>
      </x:c>
      <x:c r="E10" s="46" t="str">
        <x:v>A</x:v>
      </x:c>
      <x:c r="F10" s="46" t="str">
        <x:v>I</x:v>
      </x:c>
      <x:c r="G10" s="46" t="str">
        <x:v>C</x:v>
      </x:c>
      <x:c r="H10" s="46" t="str">
        <x:v>R</x:v>
      </x:c>
      <x:c r="I10" s="46" t="str">
        <x:v>I</x:v>
      </x:c>
      <x:c r="J10" s="46" t="str">
        <x:v>C</x:v>
      </x:c>
      <x:c r="K10" s="52" t="str">
        <x:v>I</x:v>
      </x:c>
    </x:row>
    <x:row r="11">
      <x:c r="A11" s="51" t="str">
        <x:v>AI dataset/model validation</x:v>
      </x:c>
      <x:c r="B11" s="46" t="str">
        <x:v>I</x:v>
      </x:c>
      <x:c r="C11" s="46" t="str">
        <x:v>C</x:v>
      </x:c>
      <x:c r="D11" s="46" t="str">
        <x:v>C</x:v>
      </x:c>
      <x:c r="E11" s="46" t="str">
        <x:v>A</x:v>
      </x:c>
      <x:c r="F11" s="46" t="str">
        <x:v>C</x:v>
      </x:c>
      <x:c r="G11" s="46" t="str">
        <x:v>C</x:v>
      </x:c>
      <x:c r="H11" s="46" t="str">
        <x:v>I</x:v>
      </x:c>
      <x:c r="I11" s="46" t="str">
        <x:v>R</x:v>
      </x:c>
      <x:c r="J11" s="46" t="str">
        <x:v>R</x:v>
      </x:c>
      <x:c r="K11" s="52" t="str">
        <x:v>I</x:v>
      </x:c>
    </x:row>
    <x:row r="12">
      <x:c r="A12" s="51" t="str">
        <x:v>System test/release recommendation</x:v>
      </x:c>
      <x:c r="B12" s="46" t="str">
        <x:v>I</x:v>
      </x:c>
      <x:c r="C12" s="46" t="str">
        <x:v>C</x:v>
      </x:c>
      <x:c r="D12" s="46" t="str">
        <x:v>C</x:v>
      </x:c>
      <x:c r="E12" s="46" t="str">
        <x:v>C</x:v>
      </x:c>
      <x:c r="F12" s="46" t="str">
        <x:v>C</x:v>
      </x:c>
      <x:c r="G12" s="46" t="str">
        <x:v>C</x:v>
      </x:c>
      <x:c r="H12" s="46" t="str">
        <x:v>C</x:v>
      </x:c>
      <x:c r="I12" s="46" t="str">
        <x:v>C</x:v>
      </x:c>
      <x:c r="J12" s="46" t="str">
        <x:v>A/R</x:v>
      </x:c>
      <x:c r="K12" s="52" t="str">
        <x:v>C</x:v>
      </x:c>
    </x:row>
    <x:row r="13">
      <x:c r="A13" s="51" t="str">
        <x:v>Pilot acceptance</x:v>
      </x:c>
      <x:c r="B13" s="46" t="str">
        <x:v>A</x:v>
      </x:c>
      <x:c r="C13" s="46" t="str">
        <x:v>R</x:v>
      </x:c>
      <x:c r="D13" s="46" t="str">
        <x:v>R</x:v>
      </x:c>
      <x:c r="E13" s="46" t="str">
        <x:v>C</x:v>
      </x:c>
      <x:c r="F13" s="46" t="str">
        <x:v>C</x:v>
      </x:c>
      <x:c r="G13" s="46" t="str">
        <x:v>C</x:v>
      </x:c>
      <x:c r="H13" s="46" t="str">
        <x:v>C</x:v>
      </x:c>
      <x:c r="I13" s="46" t="str">
        <x:v>C</x:v>
      </x:c>
      <x:c r="J13" s="46" t="str">
        <x:v>C</x:v>
      </x:c>
      <x:c r="K13" s="52" t="str">
        <x:v>C</x:v>
      </x:c>
    </x:row>
    <x:row r="14">
      <x:c r="A14" s="51" t="str">
        <x:v>Deployment/operations handover</x:v>
      </x:c>
      <x:c r="B14" s="46" t="str">
        <x:v>I</x:v>
      </x:c>
      <x:c r="C14" s="46" t="str">
        <x:v>C</x:v>
      </x:c>
      <x:c r="D14" s="46" t="str">
        <x:v>C</x:v>
      </x:c>
      <x:c r="E14" s="46" t="str">
        <x:v>A</x:v>
      </x:c>
      <x:c r="F14" s="46" t="str">
        <x:v>C</x:v>
      </x:c>
      <x:c r="G14" s="46" t="str">
        <x:v>C</x:v>
      </x:c>
      <x:c r="H14" s="46" t="str">
        <x:v>C</x:v>
      </x:c>
      <x:c r="I14" s="46" t="str">
        <x:v>C</x:v>
      </x:c>
      <x:c r="J14" s="46" t="str">
        <x:v>C</x:v>
      </x:c>
      <x:c r="K14" s="52" t="str">
        <x:v>R</x:v>
      </x:c>
    </x:row>
    <x:row r="15">
      <x:c r="A15" s="53" t="str">
        <x:v>Major change approval</x:v>
      </x:c>
      <x:c r="B15" s="54" t="str">
        <x:v>A</x:v>
      </x:c>
      <x:c r="C15" s="54" t="str">
        <x:v>R</x:v>
      </x:c>
      <x:c r="D15" s="54" t="str">
        <x:v>C</x:v>
      </x:c>
      <x:c r="E15" s="54" t="str">
        <x:v>C</x:v>
      </x:c>
      <x:c r="F15" s="54" t="str">
        <x:v>I</x:v>
      </x:c>
      <x:c r="G15" s="54" t="str">
        <x:v>I</x:v>
      </x:c>
      <x:c r="H15" s="54" t="str">
        <x:v>I</x:v>
      </x:c>
      <x:c r="I15" s="54" t="str">
        <x:v>I</x:v>
      </x:c>
      <x:c r="J15" s="54" t="str">
        <x:v>C</x:v>
      </x:c>
      <x:c r="K15" s="55" t="str">
        <x:v>I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f148b1b44da432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18" hidden="0" customWidth="1"/>
    <x:col min="4" max="4" width="12" hidden="0" customWidth="1"/>
    <x:col min="5" max="5" width="10" hidden="0" customWidth="1"/>
    <x:col min="6" max="6" width="55" hidden="0" customWidth="1"/>
    <x:col min="7" max="7" width="20" hidden="0" customWidth="1"/>
    <x:col min="8" max="8" width="14" hidden="0" customWidth="1"/>
    <x:col min="9" max="9" width="14" hidden="0" customWidth="1"/>
    <x:col min="10" max="10" width="10" hidden="0" customWidth="1"/>
    <x:col min="11" max="11" width="12" hidden="0" customWidth="1"/>
    <x:col min="12" max="12" width="30" hidden="0" customWidth="1"/>
  </x:cols>
  <x:sheetData>
    <x:row r="1" ht="30" customHeight="1">
      <x:c r="A1" s="33" t="str">
        <x:v>Risk Register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</x:row>
    <x:row r="2" ht="38" customHeight="1">
      <x:c r="A2" s="40" t="str">
        <x:v>Probability and impact use 1–5. Score = Probability × Impact.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4" ht="30" customHeight="1">
      <x:c r="A4" s="13" t="str">
        <x:v>Risk ID</x:v>
      </x:c>
      <x:c r="B4" s="14" t="str">
        <x:v>Risk</x:v>
      </x:c>
      <x:c r="C4" s="14" t="str">
        <x:v>Category</x:v>
      </x:c>
      <x:c r="D4" s="14" t="str">
        <x:v>Probability</x:v>
      </x:c>
      <x:c r="E4" s="14" t="str">
        <x:v>Impact</x:v>
      </x:c>
      <x:c r="F4" s="14" t="str">
        <x:v>Mitigation / Response</x:v>
      </x:c>
      <x:c r="G4" s="14" t="str">
        <x:v>Owner</x:v>
      </x:c>
      <x:c r="H4" s="14" t="str">
        <x:v>Status</x:v>
      </x:c>
      <x:c r="I4" s="14" t="str">
        <x:v>Review Date</x:v>
      </x:c>
      <x:c r="J4" s="14" t="str">
        <x:v>Score</x:v>
      </x:c>
      <x:c r="K4" s="14" t="str">
        <x:v>Rating</x:v>
      </x:c>
      <x:c r="L4" s="15" t="str">
        <x:v>Residual / Notes</x:v>
      </x:c>
    </x:row>
    <x:row r="5">
      <x:c r="A5" s="48" t="str">
        <x:v>R-001</x:v>
      </x:c>
      <x:c r="B5" s="49" t="str">
        <x:v>Flow/energy meters omitted or inaccurate</x:v>
      </x:c>
      <x:c r="C5" s="49" t="str">
        <x:v>Technical/Cost</x:v>
      </x:c>
      <x:c r="D5" s="49" t="n">
        <x:v>4</x:v>
      </x:c>
      <x:c r="E5" s="49" t="n">
        <x:v>5</x:v>
      </x:c>
      <x:c r="F5" s="49" t="str">
        <x:v>Add calibrated meters; bench calibration and acceptance</x:v>
      </x:c>
      <x:c r="G5" s="49" t="str">
        <x:v>IoT Lead</x:v>
      </x:c>
      <x:c r="H5" s="49" t="str">
        <x:v>Open</x:v>
      </x:c>
      <x:c r="I5" s="64" t="str">
        <x:v>2026-07-18</x:v>
      </x:c>
      <x:c r="J5" s="49" t="n">
        <x:f>D5*E5</x:f>
        <x:v>20</x:v>
      </x:c>
      <x:c r="K5" s="49" t="str">
        <x:f>IF(J5&gt;=15,"High",IF(J5&gt;=8,"Medium","Low"))</x:f>
        <x:v>High</x:v>
      </x:c>
      <x:c r="L5" s="50" t="str"/>
    </x:row>
    <x:row r="6">
      <x:c r="A6" s="51" t="str">
        <x:v>R-002</x:v>
      </x:c>
      <x:c r="B6" s="46" t="str">
        <x:v>Unsafe pump/relay or water ingress</x:v>
      </x:c>
      <x:c r="C6" s="46" t="str">
        <x:v>Safety</x:v>
      </x:c>
      <x:c r="D6" s="46" t="n">
        <x:v>3</x:v>
      </x:c>
      <x:c r="E6" s="46" t="n">
        <x:v>5</x:v>
      </x:c>
      <x:c r="F6" s="46" t="str">
        <x:v>Rated isolated relay, fuse, enclosure, manual cutoff, fail-off tests</x:v>
      </x:c>
      <x:c r="G6" s="46" t="str">
        <x:v>IoT Lead</x:v>
      </x:c>
      <x:c r="H6" s="46" t="str">
        <x:v>Open</x:v>
      </x:c>
      <x:c r="I6" s="65" t="str">
        <x:v>2026-07-18</x:v>
      </x:c>
      <x:c r="J6" s="46" t="n">
        <x:f>D6*E6</x:f>
        <x:v>15</x:v>
      </x:c>
      <x:c r="K6" s="46" t="str">
        <x:f>IF(J6&gt;=15,"High",IF(J6&gt;=8,"Medium","Low"))</x:f>
        <x:v>High</x:v>
      </x:c>
      <x:c r="L6" s="52" t="str"/>
    </x:row>
    <x:row r="7">
      <x:c r="A7" s="51" t="str">
        <x:v>R-003</x:v>
      </x:c>
      <x:c r="B7" s="46" t="str">
        <x:v>Weak net-house connectivity</x:v>
      </x:c>
      <x:c r="C7" s="46" t="str">
        <x:v>Technical</x:v>
      </x:c>
      <x:c r="D7" s="46" t="n">
        <x:v>4</x:v>
      </x:c>
      <x:c r="E7" s="46" t="n">
        <x:v>4</x:v>
      </x:c>
      <x:c r="F7" s="46" t="str">
        <x:v>Local fallback, 24h buffer, idempotent replay, site Wi-Fi test</x:v>
      </x:c>
      <x:c r="G7" s="46" t="str">
        <x:v>IoT Lead</x:v>
      </x:c>
      <x:c r="H7" s="46" t="str">
        <x:v>Monitoring</x:v>
      </x:c>
      <x:c r="I7" s="65" t="str">
        <x:v>2026-07-25</x:v>
      </x:c>
      <x:c r="J7" s="46" t="n">
        <x:f>D7*E7</x:f>
        <x:v>16</x:v>
      </x:c>
      <x:c r="K7" s="46" t="str">
        <x:f>IF(J7&gt;=15,"High",IF(J7&gt;=8,"Medium","Low"))</x:f>
        <x:v>High</x:v>
      </x:c>
      <x:c r="L7" s="52" t="str"/>
    </x:row>
    <x:row r="8">
      <x:c r="A8" s="51" t="str">
        <x:v>R-004</x:v>
      </x:c>
      <x:c r="B8" s="46" t="str">
        <x:v>AI dataset insufficient or biased</x:v>
      </x:c>
      <x:c r="C8" s="46" t="str">
        <x:v>AI</x:v>
      </x:c>
      <x:c r="D8" s="46" t="n">
        <x:v>4</x:v>
      </x:c>
      <x:c r="E8" s="46" t="n">
        <x:v>4</x:v>
      </x:c>
      <x:c r="F8" s="46" t="str">
        <x:v>Representative collection, label guide, held-out split, limitations</x:v>
      </x:c>
      <x:c r="G8" s="46" t="str">
        <x:v>AI Lead</x:v>
      </x:c>
      <x:c r="H8" s="46" t="str">
        <x:v>Open</x:v>
      </x:c>
      <x:c r="I8" s="65" t="str">
        <x:v>2026-07-25</x:v>
      </x:c>
      <x:c r="J8" s="46" t="n">
        <x:f>D8*E8</x:f>
        <x:v>16</x:v>
      </x:c>
      <x:c r="K8" s="46" t="str">
        <x:f>IF(J8&gt;=15,"High",IF(J8&gt;=8,"Medium","Low"))</x:f>
        <x:v>High</x:v>
      </x:c>
      <x:c r="L8" s="52" t="str"/>
    </x:row>
    <x:row r="9">
      <x:c r="A9" s="51" t="str">
        <x:v>R-005</x:v>
      </x:c>
      <x:c r="B9" s="46" t="str">
        <x:v>Khmer UI misunderstood</x:v>
      </x:c>
      <x:c r="C9" s="46" t="str">
        <x:v>UX</x:v>
      </x:c>
      <x:c r="D9" s="46" t="n">
        <x:v>3</x:v>
      </x:c>
      <x:c r="E9" s="46" t="n">
        <x:v>4</x:v>
      </x:c>
      <x:c r="F9" s="46" t="str">
        <x:v>Glossary review, farmer usability tests, icons/non-color cues</x:v>
      </x:c>
      <x:c r="G9" s="46" t="str">
        <x:v>UX Lead</x:v>
      </x:c>
      <x:c r="H9" s="46" t="str">
        <x:v>Open</x:v>
      </x:c>
      <x:c r="I9" s="65" t="str">
        <x:v>2026-08-05</x:v>
      </x:c>
      <x:c r="J9" s="46" t="n">
        <x:f>D9*E9</x:f>
        <x:v>12</x:v>
      </x:c>
      <x:c r="K9" s="46" t="str">
        <x:f>IF(J9&gt;=15,"High",IF(J9&gt;=8,"Medium","Low"))</x:f>
        <x:v>Medium</x:v>
      </x:c>
      <x:c r="L9" s="52" t="str"/>
    </x:row>
    <x:row r="10">
      <x:c r="A10" s="51" t="str">
        <x:v>R-006</x:v>
      </x:c>
      <x:c r="B10" s="46" t="str">
        <x:v>Cross-farm/device authorization flaw</x:v>
      </x:c>
      <x:c r="C10" s="46" t="str">
        <x:v>Security</x:v>
      </x:c>
      <x:c r="D10" s="46" t="n">
        <x:v>3</x:v>
      </x:c>
      <x:c r="E10" s="46" t="n">
        <x:v>5</x:v>
      </x:c>
      <x:c r="F10" s="46" t="str">
        <x:v>Policies, separate credentials and negative security tests</x:v>
      </x:c>
      <x:c r="G10" s="46" t="str">
        <x:v>Security Owner</x:v>
      </x:c>
      <x:c r="H10" s="46" t="str">
        <x:v>Open</x:v>
      </x:c>
      <x:c r="I10" s="65" t="str">
        <x:v>2026-07-30</x:v>
      </x:c>
      <x:c r="J10" s="46" t="n">
        <x:f>D10*E10</x:f>
        <x:v>15</x:v>
      </x:c>
      <x:c r="K10" s="46" t="str">
        <x:f>IF(J10&gt;=15,"High",IF(J10&gt;=8,"Medium","Low"))</x:f>
        <x:v>High</x:v>
      </x:c>
      <x:c r="L10" s="52" t="str"/>
    </x:row>
    <x:row r="11">
      <x:c r="A11" s="51" t="str">
        <x:v>R-007</x:v>
      </x:c>
      <x:c r="B11" s="46" t="str">
        <x:v>Schedule compression before presentation</x:v>
      </x:c>
      <x:c r="C11" s="46" t="str">
        <x:v>Schedule</x:v>
      </x:c>
      <x:c r="D11" s="46" t="n">
        <x:v>4</x:v>
      </x:c>
      <x:c r="E11" s="46" t="n">
        <x:v>4</x:v>
      </x:c>
      <x:c r="F11" s="46" t="str">
        <x:v>Vertical slice first, defer non-MVP, weekly critical path review</x:v>
      </x:c>
      <x:c r="G11" s="46" t="str">
        <x:v>Project Manager</x:v>
      </x:c>
      <x:c r="H11" s="46" t="str">
        <x:v>Monitoring</x:v>
      </x:c>
      <x:c r="I11" s="65" t="str">
        <x:v>2026-07-15</x:v>
      </x:c>
      <x:c r="J11" s="46" t="n">
        <x:f>D11*E11</x:f>
        <x:v>16</x:v>
      </x:c>
      <x:c r="K11" s="46" t="str">
        <x:f>IF(J11&gt;=15,"High",IF(J11&gt;=8,"Medium","Low"))</x:f>
        <x:v>High</x:v>
      </x:c>
      <x:c r="L11" s="52" t="str"/>
    </x:row>
    <x:row r="12">
      <x:c r="A12" s="51" t="str">
        <x:v>R-008</x:v>
      </x:c>
      <x:c r="B12" s="46" t="str">
        <x:v>Cloud/provider free tier expires or limits pilot</x:v>
      </x:c>
      <x:c r="C12" s="46" t="str">
        <x:v>Operations/Cost</x:v>
      </x:c>
      <x:c r="D12" s="46" t="n">
        <x:v>3</x:v>
      </x:c>
      <x:c r="E12" s="46" t="n">
        <x:v>3</x:v>
      </x:c>
      <x:c r="F12" s="46" t="str">
        <x:v>Owner/expiry register, capacity check and export/rollback path</x:v>
      </x:c>
      <x:c r="G12" s="46" t="str">
        <x:v>Operations Lead</x:v>
      </x:c>
      <x:c r="H12" s="46" t="str">
        <x:v>Open</x:v>
      </x:c>
      <x:c r="I12" s="65" t="str">
        <x:v>2026-07-20</x:v>
      </x:c>
      <x:c r="J12" s="46" t="n">
        <x:f>D12*E12</x:f>
        <x:v>9</x:v>
      </x:c>
      <x:c r="K12" s="46" t="str">
        <x:f>IF(J12&gt;=15,"High",IF(J12&gt;=8,"Medium","Low"))</x:f>
        <x:v>Medium</x:v>
      </x:c>
      <x:c r="L12" s="52" t="str"/>
    </x:row>
    <x:row r="13">
      <x:c r="A13" s="51" t="str">
        <x:v>R-009</x:v>
      </x:c>
      <x:c r="B13" s="46" t="str">
        <x:v>Backup not restorable</x:v>
      </x:c>
      <x:c r="C13" s="46" t="str">
        <x:v>Continuity</x:v>
      </x:c>
      <x:c r="D13" s="46" t="n">
        <x:v>2</x:v>
      </x:c>
      <x:c r="E13" s="46" t="n">
        <x:v>5</x:v>
      </x:c>
      <x:c r="F13" s="46" t="str">
        <x:v>Daily backup and pre-pilot restore rehearsal</x:v>
      </x:c>
      <x:c r="G13" s="46" t="str">
        <x:v>Operations Lead</x:v>
      </x:c>
      <x:c r="H13" s="46" t="str">
        <x:v>Open</x:v>
      </x:c>
      <x:c r="I13" s="65" t="str">
        <x:v>2026-08-05</x:v>
      </x:c>
      <x:c r="J13" s="46" t="n">
        <x:f>D13*E13</x:f>
        <x:v>10</x:v>
      </x:c>
      <x:c r="K13" s="46" t="str">
        <x:f>IF(J13&gt;=15,"High",IF(J13&gt;=8,"Medium","Low"))</x:f>
        <x:v>Medium</x:v>
      </x:c>
      <x:c r="L13" s="52" t="str"/>
    </x:row>
    <x:row r="14">
      <x:c r="A14" s="53" t="str">
        <x:v>R-010</x:v>
      </x:c>
      <x:c r="B14" s="54" t="str">
        <x:v>Unsubstantiated 20–30% savings claim</x:v>
      </x:c>
      <x:c r="C14" s="54" t="str">
        <x:v>Business/Reputation</x:v>
      </x:c>
      <x:c r="D14" s="54" t="n">
        <x:v>4</x:v>
      </x:c>
      <x:c r="E14" s="54" t="n">
        <x:v>3</x:v>
      </x:c>
      <x:c r="F14" s="54" t="str">
        <x:v>Measure baseline/pilot and report observed results only</x:v>
      </x:c>
      <x:c r="G14" s="54" t="str">
        <x:v>Project Manager</x:v>
      </x:c>
      <x:c r="H14" s="54" t="str">
        <x:v>Open</x:v>
      </x:c>
      <x:c r="I14" s="66" t="str">
        <x:v>2026-08-25</x:v>
      </x:c>
      <x:c r="J14" s="54" t="n">
        <x:f>D14*E14</x:f>
        <x:v>12</x:v>
      </x:c>
      <x:c r="K14" s="54" t="str">
        <x:f>IF(J14&gt;=15,"High",IF(J14&gt;=8,"Medium","Low"))</x:f>
        <x:v>Medium</x:v>
      </x:c>
      <x:c r="L14" s="55" t="str"/>
    </x:row>
  </x:sheetData>
  <x:mergeCells>
    <x:mergeCell ref="A1:N1"/>
    <x:mergeCell ref="A2:N2"/>
  </x:mergeCells>
  <x:conditionalFormatting sqref="J5:J14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dataValidations count="1">
    <x:dataValidation type="list" sqref="G5:G14">
      <x:formula1>"Open,Monitoring,Mitigated,Closed,Accepted"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7b54c3e5ac443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2" hidden="0" customWidth="1"/>
    <x:col min="4" max="4" width="14" hidden="0" customWidth="1"/>
    <x:col min="5" max="5" width="20" hidden="0" customWidth="1"/>
    <x:col min="6" max="6" width="14" hidden="0" customWidth="1"/>
    <x:col min="7" max="7" width="40" hidden="0" customWidth="1"/>
    <x:col min="8" max="8" width="45" hidden="0" customWidth="1"/>
    <x:col min="9" max="9" width="14" hidden="0" customWidth="1"/>
  </x:cols>
  <x:sheetData>
    <x:row r="1" ht="30" customHeight="1">
      <x:c r="A1" s="33" t="str">
        <x:v>Issue and Action Register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</x:row>
    <x:row r="2" ht="38" customHeight="1">
      <x:c r="A2" s="40" t="str">
        <x:v>Record active problems, decisions needed and corrective actions.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</x:row>
    <x:row r="4" ht="30" customHeight="1">
      <x:c r="A4" s="13" t="str">
        <x:v>Issue ID</x:v>
      </x:c>
      <x:c r="B4" s="14" t="str">
        <x:v>Issue</x:v>
      </x:c>
      <x:c r="C4" s="14" t="str">
        <x:v>Severity</x:v>
      </x:c>
      <x:c r="D4" s="14" t="str">
        <x:v>Status</x:v>
      </x:c>
      <x:c r="E4" s="14" t="str">
        <x:v>Owner</x:v>
      </x:c>
      <x:c r="F4" s="14" t="str">
        <x:v>Due Date</x:v>
      </x:c>
      <x:c r="G4" s="14" t="str">
        <x:v>Impact</x:v>
      </x:c>
      <x:c r="H4" s="14" t="str">
        <x:v>Resolution / Decision</x:v>
      </x:c>
      <x:c r="I4" s="15" t="str">
        <x:v>Closed Date</x:v>
      </x:c>
    </x:row>
    <x:row r="5">
      <x:c r="A5" s="48" t="str">
        <x:v>I-001</x:v>
      </x:c>
      <x:c r="B5" s="49" t="str">
        <x:v>Confirm exact flow meter and energy meter models</x:v>
      </x:c>
      <x:c r="C5" s="49" t="str">
        <x:v>High</x:v>
      </x:c>
      <x:c r="D5" s="49" t="str">
        <x:v>Open</x:v>
      </x:c>
      <x:c r="E5" s="49" t="str">
        <x:v>IoT Lead</x:v>
      </x:c>
      <x:c r="F5" s="64" t="str">
        <x:v>2026-07-15</x:v>
      </x:c>
      <x:c r="G5" s="49" t="str">
        <x:v>Procurement and pin/interface design blocked</x:v>
      </x:c>
      <x:c r="H5" s="49" t="str"/>
      <x:c r="I5" s="98" t="str"/>
    </x:row>
    <x:row r="6">
      <x:c r="A6" s="51" t="str">
        <x:v>I-002</x:v>
      </x:c>
      <x:c r="B6" s="46" t="str">
        <x:v>Confirm field pilot net house and farmer representative</x:v>
      </x:c>
      <x:c r="C6" s="46" t="str">
        <x:v>High</x:v>
      </x:c>
      <x:c r="D6" s="46" t="str">
        <x:v>Open</x:v>
      </x:c>
      <x:c r="E6" s="46" t="str">
        <x:v>Project Manager</x:v>
      </x:c>
      <x:c r="F6" s="65" t="str">
        <x:v>2026-07-15</x:v>
      </x:c>
      <x:c r="G6" s="46" t="str">
        <x:v>Pilot/UAT planning dependency</x:v>
      </x:c>
      <x:c r="H6" s="46" t="str"/>
      <x:c r="I6" s="99" t="str"/>
    </x:row>
    <x:row r="7">
      <x:c r="A7" s="51" t="str">
        <x:v>I-003</x:v>
      </x:c>
      <x:c r="B7" s="46" t="str">
        <x:v>Approve revised budget above original $103.50</x:v>
      </x:c>
      <x:c r="C7" s="46" t="str">
        <x:v>High</x:v>
      </x:c>
      <x:c r="D7" s="46" t="str">
        <x:v>Open</x:v>
      </x:c>
      <x:c r="E7" s="46" t="str">
        <x:v>Sponsor</x:v>
      </x:c>
      <x:c r="F7" s="65" t="str">
        <x:v>2026-07-18</x:v>
      </x:c>
      <x:c r="G7" s="46" t="str">
        <x:v>Procurement baseline not approved</x:v>
      </x:c>
      <x:c r="H7" s="46" t="str"/>
      <x:c r="I7" s="99" t="str"/>
    </x:row>
    <x:row r="8">
      <x:c r="A8" s="51" t="str">
        <x:v>I-004</x:v>
      </x:c>
      <x:c r="B8" s="46" t="str">
        <x:v>Confirm camera placement and image data permission</x:v>
      </x:c>
      <x:c r="C8" s="46" t="str">
        <x:v>Medium</x:v>
      </x:c>
      <x:c r="D8" s="46" t="str">
        <x:v>Open</x:v>
      </x:c>
      <x:c r="E8" s="46" t="str">
        <x:v>AI Lead</x:v>
      </x:c>
      <x:c r="F8" s="65" t="str">
        <x:v>2026-07-20</x:v>
      </x:c>
      <x:c r="G8" s="46" t="str">
        <x:v>Dataset collection and privacy</x:v>
      </x:c>
      <x:c r="H8" s="46" t="str"/>
      <x:c r="I8" s="99" t="str"/>
    </x:row>
    <x:row r="9">
      <x:c r="A9" s="53" t="str">
        <x:v>I-005</x:v>
      </x:c>
      <x:c r="B9" s="54" t="str">
        <x:v>Name document approvers/owners</x:v>
      </x:c>
      <x:c r="C9" s="54" t="str">
        <x:v>Medium</x:v>
      </x:c>
      <x:c r="D9" s="54" t="str">
        <x:v>Open</x:v>
      </x:c>
      <x:c r="E9" s="54" t="str">
        <x:v>Project Manager</x:v>
      </x:c>
      <x:c r="F9" s="66" t="str">
        <x:v>2026-07-14</x:v>
      </x:c>
      <x:c r="G9" s="54" t="str">
        <x:v>Baseline approvals pending</x:v>
      </x:c>
      <x:c r="H9" s="54" t="str"/>
      <x:c r="I9" s="100" t="str"/>
    </x:row>
  </x:sheetData>
  <x:mergeCells>
    <x:mergeCell ref="A1:L1"/>
    <x:mergeCell ref="A2:L2"/>
  </x:mergeCells>
  <x:dataValidations count="1">
    <x:dataValidation type="list" sqref="D5:D9">
      <x:formula1>"Open,In Progress,Blocked,Resolved,Closed"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bf9eee2cbc49b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8" hidden="0" customWidth="1"/>
    <x:col min="4" max="4" width="45" hidden="0" customWidth="1"/>
    <x:col min="5" max="5" width="20" hidden="0" customWidth="1"/>
    <x:col min="6" max="6" width="12" hidden="0" customWidth="1"/>
    <x:col min="7" max="7" width="50" hidden="0" customWidth="1"/>
    <x:col min="8" max="8" width="14" hidden="0" customWidth="1"/>
    <x:col min="9" max="9" width="20" hidden="0" customWidth="1"/>
    <x:col min="10" max="10" width="14" hidden="0" customWidth="1"/>
    <x:col min="11" max="11" width="38" hidden="0" customWidth="1"/>
    <x:col min="12" max="12" width="16" hidden="0" customWidth="1"/>
    <x:col min="13" max="13" width="14" hidden="0" customWidth="1"/>
  </x:cols>
  <x:sheetData>
    <x:row r="1" ht="30" customHeight="1">
      <x:c r="A1" s="33" t="str">
        <x:v>Change Request Register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</x:row>
    <x:row r="2" ht="38" customHeight="1">
      <x:c r="A2" s="40" t="str">
        <x:v>Formal impact and approval record for changes to baselines.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</x:row>
    <x:row r="4" ht="30" customHeight="1">
      <x:c r="A4" s="13" t="str">
        <x:v>CR ID</x:v>
      </x:c>
      <x:c r="B4" s="14" t="str">
        <x:v>Title</x:v>
      </x:c>
      <x:c r="C4" s="14" t="str">
        <x:v>Type</x:v>
      </x:c>
      <x:c r="D4" s="14" t="str">
        <x:v>Reason</x:v>
      </x:c>
      <x:c r="E4" s="14" t="str">
        <x:v>Requester</x:v>
      </x:c>
      <x:c r="F4" s="14" t="str">
        <x:v>Priority</x:v>
      </x:c>
      <x:c r="G4" s="14" t="str">
        <x:v>Impact Summary</x:v>
      </x:c>
      <x:c r="H4" s="14" t="str">
        <x:v>Decision</x:v>
      </x:c>
      <x:c r="I4" s="14" t="str">
        <x:v>Approver</x:v>
      </x:c>
      <x:c r="J4" s="14" t="str">
        <x:v>Decision Date</x:v>
      </x:c>
      <x:c r="K4" s="14" t="str">
        <x:v>Implementation / Evidence</x:v>
      </x:c>
      <x:c r="L4" s="14" t="str">
        <x:v>Effective Version</x:v>
      </x:c>
      <x:c r="M4" s="15" t="str">
        <x:v>Closure Date</x:v>
      </x:c>
    </x:row>
    <x:row r="5">
      <x:c r="A5" s="48" t="str">
        <x:v>CR-001</x:v>
      </x:c>
      <x:c r="B5" s="49" t="str">
        <x:v>Add flow and energy meters</x:v>
      </x:c>
      <x:c r="C5" s="49" t="str">
        <x:v>Corrective / Scope</x:v>
      </x:c>
      <x:c r="D5" s="49" t="str">
        <x:v>Actual usage cannot be measured by runtime alone</x:v>
      </x:c>
      <x:c r="E5" s="49" t="str">
        <x:v>LNTB Team</x:v>
      </x:c>
      <x:c r="F5" s="49" t="str">
        <x:v>High</x:v>
      </x:c>
      <x:c r="G5" s="49" t="str">
        <x:v>Requirements, BOM, hardware, API, tests and budget</x:v>
      </x:c>
      <x:c r="H5" s="49" t="str">
        <x:v>Approved</x:v>
      </x:c>
      <x:c r="I5" s="49" t="str">
        <x:v>Sponsor / Tech Lead</x:v>
      </x:c>
      <x:c r="J5" s="64" t="str">
        <x:v>2026-07-11</x:v>
      </x:c>
      <x:c r="K5" s="49" t="str">
        <x:v>Implemented in v1.0 docs</x:v>
      </x:c>
      <x:c r="L5" s="49" t="str"/>
      <x:c r="M5" s="98" t="str"/>
    </x:row>
    <x:row r="6">
      <x:c r="A6" s="51" t="str">
        <x:v>CR-002</x:v>
      </x:c>
      <x:c r="B6" s="46" t="str">
        <x:v>Backend-side AI inference for MVP</x:v>
      </x:c>
      <x:c r="C6" s="46" t="str">
        <x:v>Architecture</x:v>
      </x:c>
      <x:c r="D6" s="46" t="str">
        <x:v>Simpler model lifecycle and better compute capacity</x:v>
      </x:c>
      <x:c r="E6" s="46" t="str">
        <x:v>Technical Lead</x:v>
      </x:c>
      <x:c r="F6" s="46" t="str">
        <x:v>High</x:v>
      </x:c>
      <x:c r="G6" s="46" t="str">
        <x:v>Architecture, privacy, storage and queues</x:v>
      </x:c>
      <x:c r="H6" s="46" t="str">
        <x:v>Approved</x:v>
      </x:c>
      <x:c r="I6" s="46" t="str">
        <x:v>Technical Lead</x:v>
      </x:c>
      <x:c r="J6" s="65" t="str">
        <x:v>2026-07-11</x:v>
      </x:c>
      <x:c r="K6" s="46" t="str">
        <x:v>ADR-001</x:v>
      </x:c>
      <x:c r="L6" s="46" t="str"/>
      <x:c r="M6" s="99" t="str"/>
    </x:row>
    <x:row r="7">
      <x:c r="A7" s="53" t="str">
        <x:v>CR-003</x:v>
      </x:c>
      <x:c r="B7" s="54" t="str">
        <x:v>Single-farm MVP UX, multi-farm schema</x:v>
      </x:c>
      <x:c r="C7" s="54" t="str">
        <x:v>Scope</x:v>
      </x:c>
      <x:c r="D7" s="54" t="str">
        <x:v>Reduce mobile complexity without redesign later</x:v>
      </x:c>
      <x:c r="E7" s="54" t="str">
        <x:v>Product Owner</x:v>
      </x:c>
      <x:c r="F7" s="54" t="str">
        <x:v>Medium</x:v>
      </x:c>
      <x:c r="G7" s="54" t="str">
        <x:v>UX and data/authorization design</x:v>
      </x:c>
      <x:c r="H7" s="54" t="str">
        <x:v>Approved</x:v>
      </x:c>
      <x:c r="I7" s="54" t="str">
        <x:v>Product Owner</x:v>
      </x:c>
      <x:c r="J7" s="66" t="str">
        <x:v>2026-07-11</x:v>
      </x:c>
      <x:c r="K7" s="54" t="str">
        <x:v>ADR-003</x:v>
      </x:c>
      <x:c r="L7" s="54" t="str"/>
      <x:c r="M7" s="100" t="str"/>
    </x:row>
  </x:sheetData>
  <x:mergeCells>
    <x:mergeCell ref="A1:O1"/>
    <x:mergeCell ref="A2:O2"/>
  </x:mergeCells>
  <x:dataValidations count="1">
    <x:dataValidation type="list" sqref="H5:H7">
      <x:formula1>"Pending,Approved,Rejected,Deferred"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e1c7253130478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14" hidden="0" customWidth="1"/>
    <x:col min="4" max="4" width="20" hidden="0" customWidth="1"/>
    <x:col min="5" max="5" width="14" hidden="0" customWidth="1"/>
    <x:col min="6" max="6" width="45" hidden="0" customWidth="1"/>
    <x:col min="7" max="7" width="45" hidden="0" customWidth="1"/>
    <x:col min="8" max="8" width="25" hidden="0" customWidth="1"/>
    <x:col min="9" max="9" width="16" hidden="0" customWidth="1"/>
  </x:cols>
  <x:sheetData>
    <x:row r="1" ht="30" customHeight="1">
      <x:c r="A1" s="33" t="str">
        <x:v>Decision and Architecture Decision Register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</x:row>
    <x:row r="2" ht="38" customHeight="1">
      <x:c r="A2" s="40" t="str">
        <x:v>Decisions that constrain scope, architecture, safety or delivery.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</x:row>
    <x:row r="4" ht="30" customHeight="1">
      <x:c r="A4" s="13" t="str">
        <x:v>Decision ID</x:v>
      </x:c>
      <x:c r="B4" s="14" t="str">
        <x:v>Decision</x:v>
      </x:c>
      <x:c r="C4" s="14" t="str">
        <x:v>Status</x:v>
      </x:c>
      <x:c r="D4" s="14" t="str">
        <x:v>Owner</x:v>
      </x:c>
      <x:c r="E4" s="14" t="str">
        <x:v>Date</x:v>
      </x:c>
      <x:c r="F4" s="14" t="str">
        <x:v>Rationale</x:v>
      </x:c>
      <x:c r="G4" s="14" t="str">
        <x:v>Consequences</x:v>
      </x:c>
      <x:c r="H4" s="14" t="str">
        <x:v>Document</x:v>
      </x:c>
      <x:c r="I4" s="15" t="str">
        <x:v>Superseded By</x:v>
      </x:c>
    </x:row>
    <x:row r="5">
      <x:c r="A5" s="48" t="str">
        <x:v>ADR-001</x:v>
      </x:c>
      <x:c r="B5" s="49" t="str">
        <x:v>Backend-side AI inference for MVP</x:v>
      </x:c>
      <x:c r="C5" s="49" t="str">
        <x:v>Approved</x:v>
      </x:c>
      <x:c r="D5" s="49" t="str">
        <x:v>Technical Lead</x:v>
      </x:c>
      <x:c r="E5" s="64" t="str">
        <x:v>2026-07-11</x:v>
      </x:c>
      <x:c r="F5" s="49" t="str">
        <x:v>Avoid ESP32-CAM compute/model-lifecycle constraints</x:v>
      </x:c>
      <x:c r="G5" s="49" t="str">
        <x:v>Requires private image upload/storage and queue worker</x:v>
      </x:c>
      <x:c r="H5" s="49" t="str">
        <x:v>LNTB-ARC-001</x:v>
      </x:c>
      <x:c r="I5" s="50" t="str"/>
    </x:row>
    <x:row r="6">
      <x:c r="A6" s="51" t="str">
        <x:v>ADR-002</x:v>
      </x:c>
      <x:c r="B6" s="46" t="str">
        <x:v>Laravel thresholds plus firmware safe fallback</x:v>
      </x:c>
      <x:c r="C6" s="46" t="str">
        <x:v>Approved</x:v>
      </x:c>
      <x:c r="D6" s="46" t="str">
        <x:v>Technical Lead</x:v>
      </x:c>
      <x:c r="E6" s="65" t="str">
        <x:v>2026-07-11</x:v>
      </x:c>
      <x:c r="F6" s="46" t="str">
        <x:v>Central tuning with offline safety</x:v>
      </x:c>
      <x:c r="G6" s="46" t="str">
        <x:v>Versioned settings and local max runtime</x:v>
      </x:c>
      <x:c r="H6" s="46" t="str">
        <x:v>LNTB-ARC-001 / HFA-001</x:v>
      </x:c>
      <x:c r="I6" s="52" t="str"/>
    </x:row>
    <x:row r="7">
      <x:c r="A7" s="51" t="str">
        <x:v>ADR-003</x:v>
      </x:c>
      <x:c r="B7" s="46" t="str">
        <x:v>Single-farm MVP UX; multi-farm schema</x:v>
      </x:c>
      <x:c r="C7" s="46" t="str">
        <x:v>Approved</x:v>
      </x:c>
      <x:c r="D7" s="46" t="str">
        <x:v>Product Owner</x:v>
      </x:c>
      <x:c r="E7" s="65" t="str">
        <x:v>2026-07-11</x:v>
      </x:c>
      <x:c r="F7" s="46" t="str">
        <x:v>Reduce MVP complexity</x:v>
      </x:c>
      <x:c r="G7" s="46" t="str">
        <x:v>Authorization/schema still tenant-capable</x:v>
      </x:c>
      <x:c r="H7" s="46" t="str">
        <x:v>LNTB-SRS-001</x:v>
      </x:c>
      <x:c r="I7" s="52" t="str"/>
    </x:row>
    <x:row r="8">
      <x:c r="A8" s="51" t="str">
        <x:v>ADR-004</x:v>
      </x:c>
      <x:c r="B8" s="46" t="str">
        <x:v>Add calibrated flow and energy meters</x:v>
      </x:c>
      <x:c r="C8" s="46" t="str">
        <x:v>Approved</x:v>
      </x:c>
      <x:c r="D8" s="46" t="str">
        <x:v>Sponsor / Tech Lead</x:v>
      </x:c>
      <x:c r="E8" s="65" t="str">
        <x:v>2026-07-11</x:v>
      </x:c>
      <x:c r="F8" s="46" t="str">
        <x:v>Support actual m³/kWh claim</x:v>
      </x:c>
      <x:c r="G8" s="46" t="str">
        <x:v>Revised BOM and calibration tests</x:v>
      </x:c>
      <x:c r="H8" s="46" t="str">
        <x:v>LNTB-PLC-001 / HFA-001</x:v>
      </x:c>
      <x:c r="I8" s="52" t="str"/>
    </x:row>
    <x:row r="9">
      <x:c r="A9" s="51" t="str">
        <x:v>ADR-005</x:v>
      </x:c>
      <x:c r="B9" s="46" t="str">
        <x:v>Store-and-forward with idempotency</x:v>
      </x:c>
      <x:c r="C9" s="46" t="str">
        <x:v>Approved</x:v>
      </x:c>
      <x:c r="D9" s="46" t="str">
        <x:v>Technical Lead</x:v>
      </x:c>
      <x:c r="E9" s="65" t="str">
        <x:v>2026-07-11</x:v>
      </x:c>
      <x:c r="F9" s="46" t="str">
        <x:v>Intermittent connectivity without loss/duplicates</x:v>
      </x:c>
      <x:c r="G9" s="46" t="str">
        <x:v>Client event IDs, sync cursor and buffer</x:v>
      </x:c>
      <x:c r="H9" s="46" t="str">
        <x:v>LNTB-ARC-001</x:v>
      </x:c>
      <x:c r="I9" s="52" t="str"/>
    </x:row>
    <x:row r="10">
      <x:c r="A10" s="51" t="str">
        <x:v>ADR-006</x:v>
      </x:c>
      <x:c r="B10" s="46" t="str">
        <x:v>Khmer ARB; no hardcoded production strings</x:v>
      </x:c>
      <x:c r="C10" s="46" t="str">
        <x:v>Approved</x:v>
      </x:c>
      <x:c r="D10" s="46" t="str">
        <x:v>Product Owner</x:v>
      </x:c>
      <x:c r="E10" s="65" t="str">
        <x:v>2026-07-11</x:v>
      </x:c>
      <x:c r="F10" s="46" t="str">
        <x:v>Consistency and testability</x:v>
      </x:c>
      <x:c r="G10" s="46" t="str">
        <x:v>Localization glossary/release check</x:v>
      </x:c>
      <x:c r="H10" s="46" t="str">
        <x:v>LNTB-UX-001</x:v>
      </x:c>
      <x:c r="I10" s="52" t="str"/>
    </x:row>
    <x:row r="11">
      <x:c r="A11" s="53" t="str">
        <x:v>ADR-007</x:v>
      </x:c>
      <x:c r="B11" s="54" t="str">
        <x:v>Private image storage and retention</x:v>
      </x:c>
      <x:c r="C11" s="54" t="str">
        <x:v>Approved</x:v>
      </x:c>
      <x:c r="D11" s="54" t="str">
        <x:v>Security Owner</x:v>
      </x:c>
      <x:c r="E11" s="66" t="str">
        <x:v>2026-07-11</x:v>
      </x:c>
      <x:c r="F11" s="54" t="str">
        <x:v>Reduce image exposure/privacy risk</x:v>
      </x:c>
      <x:c r="G11" s="54" t="str">
        <x:v>Signed access and deletion job</x:v>
      </x:c>
      <x:c r="H11" s="54" t="str">
        <x:v>LNTB-SEC-001</x:v>
      </x:c>
      <x:c r="I11" s="55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57ad4a6e616494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5" hidden="0" customWidth="1"/>
    <x:col min="4" max="4" width="18" hidden="0" customWidth="1"/>
    <x:col min="5" max="5" width="12" hidden="0" customWidth="1"/>
    <x:col min="6" max="6" width="55" hidden="0" customWidth="1"/>
    <x:col min="7" max="7" width="14" hidden="0" customWidth="1"/>
    <x:col min="8" max="8" width="18" hidden="0" customWidth="1"/>
    <x:col min="9" max="9" width="14" hidden="0" customWidth="1"/>
    <x:col min="10" max="10" width="38" hidden="0" customWidth="1"/>
  </x:cols>
  <x:sheetData>
    <x:row r="1" ht="30" customHeight="1">
      <x:c r="A1" s="33" t="str">
        <x:v>Test Case Register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</x:row>
    <x:row r="2" ht="38" customHeight="1">
      <x:c r="A2" s="40" t="str">
        <x:v>Execution evidence must include release, environment, expected/actual and attachments.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</x:row>
    <x:row r="4" ht="30" customHeight="1">
      <x:c r="A4" s="13" t="str">
        <x:v>Test ID</x:v>
      </x:c>
      <x:c r="B4" s="14" t="str">
        <x:v>Test</x:v>
      </x:c>
      <x:c r="C4" s="14" t="str">
        <x:v>Requirement Trace</x:v>
      </x:c>
      <x:c r="D4" s="14" t="str">
        <x:v>Level/Type</x:v>
      </x:c>
      <x:c r="E4" s="14" t="str">
        <x:v>Priority</x:v>
      </x:c>
      <x:c r="F4" s="14" t="str">
        <x:v>Pass Condition</x:v>
      </x:c>
      <x:c r="G4" s="14" t="str">
        <x:v>Result</x:v>
      </x:c>
      <x:c r="H4" s="14" t="str">
        <x:v>Owner</x:v>
      </x:c>
      <x:c r="I4" s="14" t="str">
        <x:v>Execution Date</x:v>
      </x:c>
      <x:c r="J4" s="15" t="str">
        <x:v>Evidence / Defect</x:v>
      </x:c>
    </x:row>
    <x:row r="5">
      <x:c r="A5" s="48" t="str">
        <x:v>TC-001</x:v>
      </x:c>
      <x:c r="B5" s="49" t="str">
        <x:v>User authentication and logout</x:v>
      </x:c>
      <x:c r="C5" s="49" t="str">
        <x:v>FR-APP-01;FR-APP-15;FR-BE-10</x:v>
      </x:c>
      <x:c r="D5" s="49" t="str">
        <x:v>System</x:v>
      </x:c>
      <x:c r="E5" s="49" t="str">
        <x:v>High</x:v>
      </x:c>
      <x:c r="F5" s="49" t="str">
        <x:v>Valid/invalid login; logout revokes token</x:v>
      </x:c>
      <x:c r="G5" s="49" t="str">
        <x:v>Not Run</x:v>
      </x:c>
      <x:c r="H5" s="49" t="str">
        <x:v>QA Lead</x:v>
      </x:c>
      <x:c r="I5" s="64" t="str"/>
      <x:c r="J5" s="50" t="str"/>
    </x:row>
    <x:row r="6">
      <x:c r="A6" s="51" t="str">
        <x:v>TC-002</x:v>
      </x:c>
      <x:c r="B6" s="46" t="str">
        <x:v>Cross-farm authorization</x:v>
      </x:c>
      <x:c r="C6" s="46" t="str">
        <x:v>NFR-05</x:v>
      </x:c>
      <x:c r="D6" s="46" t="str">
        <x:v>Security</x:v>
      </x:c>
      <x:c r="E6" s="46" t="str">
        <x:v>Critical</x:v>
      </x:c>
      <x:c r="F6" s="46" t="str">
        <x:v>User/device cannot access another farm</x:v>
      </x:c>
      <x:c r="G6" s="46" t="str">
        <x:v>Not Run</x:v>
      </x:c>
      <x:c r="H6" s="46" t="str">
        <x:v>QA Lead</x:v>
      </x:c>
      <x:c r="I6" s="65" t="str"/>
      <x:c r="J6" s="52" t="str"/>
    </x:row>
    <x:row r="7">
      <x:c r="A7" s="51" t="str">
        <x:v>TC-003</x:v>
      </x:c>
      <x:c r="B7" s="46" t="str">
        <x:v>Telemetry validation and ingestion</x:v>
      </x:c>
      <x:c r="C7" s="46" t="str">
        <x:v>FR-HW-04;FR-BE-01</x:v>
      </x:c>
      <x:c r="D7" s="46" t="str">
        <x:v>Integration</x:v>
      </x:c>
      <x:c r="E7" s="46" t="str">
        <x:v>High</x:v>
      </x:c>
      <x:c r="F7" s="46" t="str">
        <x:v>Valid stored; invalid rejected safely</x:v>
      </x:c>
      <x:c r="G7" s="46" t="str">
        <x:v>Not Run</x:v>
      </x:c>
      <x:c r="H7" s="46" t="str">
        <x:v>Backend Lead</x:v>
      </x:c>
      <x:c r="I7" s="65" t="str"/>
      <x:c r="J7" s="52" t="str"/>
    </x:row>
    <x:row r="8">
      <x:c r="A8" s="51" t="str">
        <x:v>TC-004</x:v>
      </x:c>
      <x:c r="B8" s="46" t="str">
        <x:v>Duplicate offline replay</x:v>
      </x:c>
      <x:c r="C8" s="46" t="str">
        <x:v>FR-HW-16;FR-BE-16</x:v>
      </x:c>
      <x:c r="D8" s="46" t="str">
        <x:v>Integration</x:v>
      </x:c>
      <x:c r="E8" s="46" t="str">
        <x:v>Critical</x:v>
      </x:c>
      <x:c r="F8" s="46" t="str">
        <x:v>One logical record per client event ID</x:v>
      </x:c>
      <x:c r="G8" s="46" t="str">
        <x:v>Not Run</x:v>
      </x:c>
      <x:c r="H8" s="46" t="str">
        <x:v>QA Lead</x:v>
      </x:c>
      <x:c r="I8" s="65" t="str"/>
      <x:c r="J8" s="52" t="str"/>
    </x:row>
    <x:row r="9">
      <x:c r="A9" s="51" t="str">
        <x:v>TC-005</x:v>
      </x:c>
      <x:c r="B9" s="46" t="str">
        <x:v>Live dashboard latency</x:v>
      </x:c>
      <x:c r="C9" s="46" t="str">
        <x:v>FR-BE-07;NFR-02</x:v>
      </x:c>
      <x:c r="D9" s="46" t="str">
        <x:v>Performance</x:v>
      </x:c>
      <x:c r="E9" s="46" t="str">
        <x:v>High</x:v>
      </x:c>
      <x:c r="F9" s="46" t="str">
        <x:v>95% shown within 5s</x:v>
      </x:c>
      <x:c r="G9" s="46" t="str">
        <x:v>Not Run</x:v>
      </x:c>
      <x:c r="H9" s="46" t="str">
        <x:v>QA Lead</x:v>
      </x:c>
      <x:c r="I9" s="65" t="str"/>
      <x:c r="J9" s="52" t="str"/>
    </x:row>
    <x:row r="10">
      <x:c r="A10" s="51" t="str">
        <x:v>TC-006</x:v>
      </x:c>
      <x:c r="B10" s="46" t="str">
        <x:v>Manual irrigation happy path</x:v>
      </x:c>
      <x:c r="C10" s="46" t="str">
        <x:v>FR-APP-04;FR-BE-12</x:v>
      </x:c>
      <x:c r="D10" s="46" t="str">
        <x:v>E2E</x:v>
      </x:c>
      <x:c r="E10" s="46" t="str">
        <x:v>Critical</x:v>
      </x:c>
      <x:c r="F10" s="46" t="str">
        <x:v>Confirmed command executes and records event</x:v>
      </x:c>
      <x:c r="G10" s="46" t="str">
        <x:v>Not Run</x:v>
      </x:c>
      <x:c r="H10" s="46" t="str">
        <x:v>QA Lead</x:v>
      </x:c>
      <x:c r="I10" s="65" t="str"/>
      <x:c r="J10" s="52" t="str"/>
    </x:row>
    <x:row r="11">
      <x:c r="A11" s="51" t="str">
        <x:v>TC-007</x:v>
      </x:c>
      <x:c r="B11" s="46" t="str">
        <x:v>Unauthorized/expired/replayed command</x:v>
      </x:c>
      <x:c r="C11" s="46" t="str">
        <x:v>NFR-05;NFR-13</x:v>
      </x:c>
      <x:c r="D11" s="46" t="str">
        <x:v>Security</x:v>
      </x:c>
      <x:c r="E11" s="46" t="str">
        <x:v>Critical</x:v>
      </x:c>
      <x:c r="F11" s="46" t="str">
        <x:v>No actuation; reason recorded</x:v>
      </x:c>
      <x:c r="G11" s="46" t="str">
        <x:v>Not Run</x:v>
      </x:c>
      <x:c r="H11" s="46" t="str">
        <x:v>QA Lead</x:v>
      </x:c>
      <x:c r="I11" s="65" t="str"/>
      <x:c r="J11" s="52" t="str"/>
    </x:row>
    <x:row r="12">
      <x:c r="A12" s="51" t="str">
        <x:v>TC-008</x:v>
      </x:c>
      <x:c r="B12" s="46" t="str">
        <x:v>Pump maximum runtime</x:v>
      </x:c>
      <x:c r="C12" s="46" t="str">
        <x:v>FR-HW-17;NFR-13</x:v>
      </x:c>
      <x:c r="D12" s="46" t="str">
        <x:v>Safety</x:v>
      </x:c>
      <x:c r="E12" s="46" t="str">
        <x:v>Critical</x:v>
      </x:c>
      <x:c r="F12" s="46" t="str">
        <x:v>Firmware stops pump locally at limit</x:v>
      </x:c>
      <x:c r="G12" s="46" t="str">
        <x:v>Not Run</x:v>
      </x:c>
      <x:c r="H12" s="46" t="str">
        <x:v>IoT Lead</x:v>
      </x:c>
      <x:c r="I12" s="65" t="str"/>
      <x:c r="J12" s="52" t="str"/>
    </x:row>
    <x:row r="13">
      <x:c r="A13" s="51" t="str">
        <x:v>TC-009</x:v>
      </x:c>
      <x:c r="B13" s="46" t="str">
        <x:v>Backend/network outage</x:v>
      </x:c>
      <x:c r="C13" s="46" t="str">
        <x:v>FR-HW-09;FR-HW-16;NFR-03</x:v>
      </x:c>
      <x:c r="D13" s="46" t="str">
        <x:v>Resilience</x:v>
      </x:c>
      <x:c r="E13" s="46" t="str">
        <x:v>Critical</x:v>
      </x:c>
      <x:c r="F13" s="46" t="str">
        <x:v>Safe local mode and complete reconciliation</x:v>
      </x:c>
      <x:c r="G13" s="46" t="str">
        <x:v>Not Run</x:v>
      </x:c>
      <x:c r="H13" s="46" t="str">
        <x:v>QA Lead</x:v>
      </x:c>
      <x:c r="I13" s="65" t="str"/>
      <x:c r="J13" s="52" t="str"/>
    </x:row>
    <x:row r="14">
      <x:c r="A14" s="51" t="str">
        <x:v>TC-010</x:v>
      </x:c>
      <x:c r="B14" s="46" t="str">
        <x:v>Reboot during pumping</x:v>
      </x:c>
      <x:c r="C14" s="46" t="str">
        <x:v>NFR-13</x:v>
      </x:c>
      <x:c r="D14" s="46" t="str">
        <x:v>Safety</x:v>
      </x:c>
      <x:c r="E14" s="46" t="str">
        <x:v>Critical</x:v>
      </x:c>
      <x:c r="F14" s="46" t="str">
        <x:v>Output boots OFF; interrupted event recorded</x:v>
      </x:c>
      <x:c r="G14" s="46" t="str">
        <x:v>Not Run</x:v>
      </x:c>
      <x:c r="H14" s="46" t="str">
        <x:v>IoT Lead</x:v>
      </x:c>
      <x:c r="I14" s="65" t="str"/>
      <x:c r="J14" s="52" t="str"/>
    </x:row>
    <x:row r="15">
      <x:c r="A15" s="51" t="str">
        <x:v>TC-011</x:v>
      </x:c>
      <x:c r="B15" s="46" t="str">
        <x:v>Invalid moisture sensor</x:v>
      </x:c>
      <x:c r="C15" s="46" t="str">
        <x:v>FR-HW-17</x:v>
      </x:c>
      <x:c r="D15" s="46" t="str">
        <x:v>Safety</x:v>
      </x:c>
      <x:c r="E15" s="46" t="str">
        <x:v>Critical</x:v>
      </x:c>
      <x:c r="F15" s="46" t="str">
        <x:v>Unsafe auto start blocked; warning visible</x:v>
      </x:c>
      <x:c r="G15" s="46" t="str">
        <x:v>Not Run</x:v>
      </x:c>
      <x:c r="H15" s="46" t="str">
        <x:v>IoT Lead</x:v>
      </x:c>
      <x:c r="I15" s="65" t="str"/>
      <x:c r="J15" s="52" t="str"/>
    </x:row>
    <x:row r="16">
      <x:c r="A16" s="51" t="str">
        <x:v>TC-012</x:v>
      </x:c>
      <x:c r="B16" s="46" t="str">
        <x:v>Flow/energy calibration</x:v>
      </x:c>
      <x:c r="C16" s="46" t="str">
        <x:v>FR-HW-14;FR-HW-15;NFR-11</x:v>
      </x:c>
      <x:c r="D16" s="46" t="str">
        <x:v>Calibration</x:v>
      </x:c>
      <x:c r="E16" s="46" t="str">
        <x:v>High</x:v>
      </x:c>
      <x:c r="F16" s="46" t="str">
        <x:v>Observed error within ±5% target</x:v>
      </x:c>
      <x:c r="G16" s="46" t="str">
        <x:v>Not Run</x:v>
      </x:c>
      <x:c r="H16" s="46" t="str">
        <x:v>IoT Lead</x:v>
      </x:c>
      <x:c r="I16" s="65" t="str"/>
      <x:c r="J16" s="52" t="str"/>
    </x:row>
    <x:row r="17">
      <x:c r="A17" s="51" t="str">
        <x:v>TC-013</x:v>
      </x:c>
      <x:c r="B17" s="46" t="str">
        <x:v>Cost reproducibility</x:v>
      </x:c>
      <x:c r="C17" s="46" t="str">
        <x:v>FR-BE-05;FR-BE-06;FR-BE-14</x:v>
      </x:c>
      <x:c r="D17" s="46" t="str">
        <x:v>System</x:v>
      </x:c>
      <x:c r="E17" s="46" t="str">
        <x:v>High</x:v>
      </x:c>
      <x:c r="F17" s="46" t="str">
        <x:v>Totals match raw data/effective tariff</x:v>
      </x:c>
      <x:c r="G17" s="46" t="str">
        <x:v>Not Run</x:v>
      </x:c>
      <x:c r="H17" s="46" t="str">
        <x:v>Backend Lead</x:v>
      </x:c>
      <x:c r="I17" s="65" t="str"/>
      <x:c r="J17" s="52" t="str"/>
    </x:row>
    <x:row r="18">
      <x:c r="A18" s="51" t="str">
        <x:v>TC-014</x:v>
      </x:c>
      <x:c r="B18" s="46" t="str">
        <x:v>Private image upload/access</x:v>
      </x:c>
      <x:c r="C18" s="46" t="str">
        <x:v>FR-BE-04;FR-BE-17</x:v>
      </x:c>
      <x:c r="D18" s="46" t="str">
        <x:v>Security</x:v>
      </x:c>
      <x:c r="E18" s="46" t="str">
        <x:v>High</x:v>
      </x:c>
      <x:c r="F18" s="46" t="str">
        <x:v>Invalid rejected; unauthorized access denied</x:v>
      </x:c>
      <x:c r="G18" s="46" t="str">
        <x:v>Not Run</x:v>
      </x:c>
      <x:c r="H18" s="46" t="str">
        <x:v>QA Lead</x:v>
      </x:c>
      <x:c r="I18" s="65" t="str"/>
      <x:c r="J18" s="52" t="str"/>
    </x:row>
    <x:row r="19">
      <x:c r="A19" s="51" t="str">
        <x:v>TC-015</x:v>
      </x:c>
      <x:c r="B19" s="46" t="str">
        <x:v>AI held-out validation</x:v>
      </x:c>
      <x:c r="C19" s="46" t="str">
        <x:v>NFR-12</x:v>
      </x:c>
      <x:c r="D19" s="46" t="str">
        <x:v>AI</x:v>
      </x:c>
      <x:c r="E19" s="46" t="str">
        <x:v>High</x:v>
      </x:c>
      <x:c r="F19" s="46" t="str">
        <x:v>Metrics/model version reproducible</x:v>
      </x:c>
      <x:c r="G19" s="46" t="str">
        <x:v>Not Run</x:v>
      </x:c>
      <x:c r="H19" s="46" t="str">
        <x:v>AI Lead</x:v>
      </x:c>
      <x:c r="I19" s="65" t="str"/>
      <x:c r="J19" s="52" t="str"/>
    </x:row>
    <x:row r="20">
      <x:c r="A20" s="51" t="str">
        <x:v>TC-016</x:v>
      </x:c>
      <x:c r="B20" s="46" t="str">
        <x:v>Low-confidence AI UX</x:v>
      </x:c>
      <x:c r="C20" s="46" t="str">
        <x:v>FR-APP-06</x:v>
      </x:c>
      <x:c r="D20" s="46" t="str">
        <x:v>UX</x:v>
      </x:c>
      <x:c r="E20" s="46" t="str">
        <x:v>Medium</x:v>
      </x:c>
      <x:c r="F20" s="46" t="str">
        <x:v>Review guidance shown; no certainty claim</x:v>
      </x:c>
      <x:c r="G20" s="46" t="str">
        <x:v>Not Run</x:v>
      </x:c>
      <x:c r="H20" s="46" t="str">
        <x:v>UX Lead</x:v>
      </x:c>
      <x:c r="I20" s="65" t="str"/>
      <x:c r="J20" s="52" t="str"/>
    </x:row>
    <x:row r="21">
      <x:c r="A21" s="51" t="str">
        <x:v>TC-017</x:v>
      </x:c>
      <x:c r="B21" s="46" t="str">
        <x:v>Khmer localization completeness</x:v>
      </x:c>
      <x:c r="C21" s="46" t="str">
        <x:v>FR-APP-10;NFR-07</x:v>
      </x:c>
      <x:c r="D21" s="46" t="str">
        <x:v>Localization</x:v>
      </x:c>
      <x:c r="E21" s="46" t="str">
        <x:v>High</x:v>
      </x:c>
      <x:c r="F21" s="46" t="str">
        <x:v>No missing key/hardcoded release string</x:v>
      </x:c>
      <x:c r="G21" s="46" t="str">
        <x:v>Not Run</x:v>
      </x:c>
      <x:c r="H21" s="46" t="str">
        <x:v>Mobile Lead</x:v>
      </x:c>
      <x:c r="I21" s="65" t="str"/>
      <x:c r="J21" s="52" t="str"/>
    </x:row>
    <x:row r="22">
      <x:c r="A22" s="51" t="str">
        <x:v>TC-018</x:v>
      </x:c>
      <x:c r="B22" s="46" t="str">
        <x:v>Offline/stale mobile state</x:v>
      </x:c>
      <x:c r="C22" s="46" t="str">
        <x:v>FR-APP-12;FR-APP-14</x:v>
      </x:c>
      <x:c r="D22" s="46" t="str">
        <x:v>Mobile</x:v>
      </x:c>
      <x:c r="E22" s="46" t="str">
        <x:v>High</x:v>
      </x:c>
      <x:c r="F22" s="46" t="str">
        <x:v>Cache labelled; ambiguous command safe</x:v>
      </x:c>
      <x:c r="G22" s="46" t="str">
        <x:v>Not Run</x:v>
      </x:c>
      <x:c r="H22" s="46" t="str">
        <x:v>Mobile Lead</x:v>
      </x:c>
      <x:c r="I22" s="65" t="str"/>
      <x:c r="J22" s="52" t="str"/>
    </x:row>
    <x:row r="23">
      <x:c r="A23" s="51" t="str">
        <x:v>TC-019</x:v>
      </x:c>
      <x:c r="B23" s="46" t="str">
        <x:v>Accessibility core flows</x:v>
      </x:c>
      <x:c r="C23" s="46" t="str">
        <x:v>NFR-15</x:v>
      </x:c>
      <x:c r="D23" s="46" t="str">
        <x:v>Accessibility</x:v>
      </x:c>
      <x:c r="E23" s="46" t="str">
        <x:v>High</x:v>
      </x:c>
      <x:c r="F23" s="46" t="str">
        <x:v>Semantics, scaling, target, non-color pass</x:v>
      </x:c>
      <x:c r="G23" s="46" t="str">
        <x:v>Not Run</x:v>
      </x:c>
      <x:c r="H23" s="46" t="str">
        <x:v>UX Lead</x:v>
      </x:c>
      <x:c r="I23" s="65" t="str"/>
      <x:c r="J23" s="52" t="str"/>
    </x:row>
    <x:row r="24">
      <x:c r="A24" s="51" t="str">
        <x:v>TC-020</x:v>
      </x:c>
      <x:c r="B24" s="46" t="str">
        <x:v>Backup/restore</x:v>
      </x:c>
      <x:c r="C24" s="46" t="str">
        <x:v>NFR-14</x:v>
      </x:c>
      <x:c r="D24" s="46" t="str">
        <x:v>Continuity</x:v>
      </x:c>
      <x:c r="E24" s="46" t="str">
        <x:v>Critical</x:v>
      </x:c>
      <x:c r="F24" s="46" t="str">
        <x:v>Restore within RTO from backup within RPO</x:v>
      </x:c>
      <x:c r="G24" s="46" t="str">
        <x:v>Not Run</x:v>
      </x:c>
      <x:c r="H24" s="46" t="str">
        <x:v>Operations Lead</x:v>
      </x:c>
      <x:c r="I24" s="65" t="str"/>
      <x:c r="J24" s="52" t="str"/>
    </x:row>
    <x:row r="25">
      <x:c r="A25" s="51" t="str">
        <x:v>TC-021</x:v>
      </x:c>
      <x:c r="B25" s="46" t="str">
        <x:v>Queue/scheduler/provider failure</x:v>
      </x:c>
      <x:c r="C25" s="46" t="str">
        <x:v>FR-BE-06;FR-BE-08;FR-BE-09;FR-BE-18</x:v>
      </x:c>
      <x:c r="D25" s="46" t="str">
        <x:v>Resilience</x:v>
      </x:c>
      <x:c r="E25" s="46" t="str">
        <x:v>High</x:v>
      </x:c>
      <x:c r="F25" s="46" t="str">
        <x:v>Safe retries, failure alert, no duplicate outcome</x:v>
      </x:c>
      <x:c r="G25" s="46" t="str">
        <x:v>Not Run</x:v>
      </x:c>
      <x:c r="H25" s="46" t="str">
        <x:v>Backend Lead</x:v>
      </x:c>
      <x:c r="I25" s="65" t="str"/>
      <x:c r="J25" s="52" t="str"/>
    </x:row>
    <x:row r="26">
      <x:c r="A26" s="53" t="str">
        <x:v>TC-022</x:v>
      </x:c>
      <x:c r="B26" s="54" t="str">
        <x:v>Device credential revocation</x:v>
      </x:c>
      <x:c r="C26" s="54" t="str">
        <x:v>FR-BE-15</x:v>
      </x:c>
      <x:c r="D26" s="54" t="str">
        <x:v>Security</x:v>
      </x:c>
      <x:c r="E26" s="54" t="str">
        <x:v>Critical</x:v>
      </x:c>
      <x:c r="F26" s="54" t="str">
        <x:v>Revoked denied; replacement provisioned</x:v>
      </x:c>
      <x:c r="G26" s="54" t="str">
        <x:v>Not Run</x:v>
      </x:c>
      <x:c r="H26" s="54" t="str">
        <x:v>Security Owner</x:v>
      </x:c>
      <x:c r="I26" s="66" t="str"/>
      <x:c r="J26" s="55" t="str"/>
    </x:row>
  </x:sheetData>
  <x:mergeCells>
    <x:mergeCell ref="A1:L1"/>
    <x:mergeCell ref="A2:L2"/>
  </x:mergeCells>
  <x:conditionalFormatting sqref="G5:G26">
    <x:cfRule type="expression" dxfId="14" priority="1">
      <x:formula>G5="Pass"</x:formula>
    </x:cfRule>
    <x:cfRule type="expression" dxfId="15" priority="2">
      <x:formula>G5="Fail"</x:formula>
    </x:cfRule>
  </x:conditionalFormatting>
  <x:dataValidations count="1">
    <x:dataValidation type="list" sqref="G5:G26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d70ae62aa743c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8" hidden="0" customWidth="1"/>
    <x:col min="4" max="4" width="12" hidden="0" customWidth="1"/>
    <x:col min="5" max="5" width="14" hidden="0" customWidth="1"/>
    <x:col min="6" max="6" width="18" hidden="0" customWidth="1"/>
    <x:col min="7" max="7" width="12" hidden="0" customWidth="1"/>
    <x:col min="8" max="8" width="18" hidden="0" customWidth="1"/>
    <x:col min="9" max="9" width="14" hidden="0" customWidth="1"/>
    <x:col min="10" max="10" width="40" hidden="0" customWidth="1"/>
    <x:col min="11" max="11" width="40" hidden="0" customWidth="1"/>
    <x:col min="12" max="12" width="18" hidden="0" customWidth="1"/>
    <x:col min="13" max="13" width="14" hidden="0" customWidth="1"/>
  </x:cols>
  <x:sheetData>
    <x:row r="1" ht="30" customHeight="1">
      <x:c r="A1" s="33" t="str">
        <x:v>Defect Register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</x:row>
    <x:row r="2" ht="38" customHeight="1">
      <x:c r="A2" s="40" t="str">
        <x:v>Use one record per reproducible defect. Link to test and release evidence.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4" ht="30" customHeight="1">
      <x:c r="A4" s="13" t="str">
        <x:v>Defect ID</x:v>
      </x:c>
      <x:c r="B4" s="14" t="str">
        <x:v>Title</x:v>
      </x:c>
      <x:c r="C4" s="14" t="str">
        <x:v>Module</x:v>
      </x:c>
      <x:c r="D4" s="14" t="str">
        <x:v>Severity</x:v>
      </x:c>
      <x:c r="E4" s="14" t="str">
        <x:v>Status</x:v>
      </x:c>
      <x:c r="F4" s="14" t="str">
        <x:v>Found In Version</x:v>
      </x:c>
      <x:c r="G4" s="14" t="str">
        <x:v>Test ID</x:v>
      </x:c>
      <x:c r="H4" s="14" t="str">
        <x:v>Owner</x:v>
      </x:c>
      <x:c r="I4" s="14" t="str">
        <x:v>Opened Date</x:v>
      </x:c>
      <x:c r="J4" s="14" t="str">
        <x:v>Root Cause</x:v>
      </x:c>
      <x:c r="K4" s="14" t="str">
        <x:v>Resolution</x:v>
      </x:c>
      <x:c r="L4" s="14" t="str">
        <x:v>Verified By</x:v>
      </x:c>
      <x:c r="M4" s="15" t="str">
        <x:v>Closed Date</x:v>
      </x:c>
    </x:row>
    <x:row r="5">
      <x:c r="A5" s="48" t="str">
        <x:v>DEF-001</x:v>
      </x:c>
      <x:c r="B5" s="49" t="str"/>
      <x:c r="C5" s="49" t="str"/>
      <x:c r="D5" s="49" t="str">
        <x:v>Critical</x:v>
      </x:c>
      <x:c r="E5" s="49" t="str">
        <x:v>Open</x:v>
      </x:c>
      <x:c r="F5" s="49" t="str"/>
      <x:c r="G5" s="49" t="str"/>
      <x:c r="H5" s="49" t="str"/>
      <x:c r="I5" s="64" t="str"/>
      <x:c r="J5" s="49" t="str"/>
      <x:c r="K5" s="49" t="str"/>
      <x:c r="L5" s="49" t="str"/>
      <x:c r="M5" s="98" t="str"/>
    </x:row>
    <x:row r="6">
      <x:c r="A6" s="51" t="str">
        <x:v>DEF-002</x:v>
      </x:c>
      <x:c r="B6" s="46" t="str"/>
      <x:c r="C6" s="46" t="str"/>
      <x:c r="D6" s="46" t="str">
        <x:v>High</x:v>
      </x:c>
      <x:c r="E6" s="46" t="str">
        <x:v>Open</x:v>
      </x:c>
      <x:c r="F6" s="46" t="str"/>
      <x:c r="G6" s="46" t="str"/>
      <x:c r="H6" s="46" t="str"/>
      <x:c r="I6" s="65" t="str"/>
      <x:c r="J6" s="46" t="str"/>
      <x:c r="K6" s="46" t="str"/>
      <x:c r="L6" s="46" t="str"/>
      <x:c r="M6" s="99" t="str"/>
    </x:row>
    <x:row r="7">
      <x:c r="A7" s="53" t="str">
        <x:v>DEF-003</x:v>
      </x:c>
      <x:c r="B7" s="54" t="str"/>
      <x:c r="C7" s="54" t="str"/>
      <x:c r="D7" s="54" t="str">
        <x:v>Medium</x:v>
      </x:c>
      <x:c r="E7" s="54" t="str">
        <x:v>Open</x:v>
      </x:c>
      <x:c r="F7" s="54" t="str"/>
      <x:c r="G7" s="54" t="str"/>
      <x:c r="H7" s="54" t="str"/>
      <x:c r="I7" s="66" t="str"/>
      <x:c r="J7" s="54" t="str"/>
      <x:c r="K7" s="54" t="str"/>
      <x:c r="L7" s="54" t="str"/>
      <x:c r="M7" s="100" t="str"/>
    </x:row>
  </x:sheetData>
  <x:mergeCells>
    <x:mergeCell ref="A1:N1"/>
    <x:mergeCell ref="A2:N2"/>
  </x:mergeCells>
  <x:dataValidations count="2">
    <x:dataValidation type="list" sqref="D5:D7">
      <x:formula1>"Critical,High,Medium,Low"</x:formula1>
    </x:dataValidation>
    <x:dataValidation type="list" sqref="E5:E7">
      <x:formula1>"Open,In Progress,Resolved,Closed,Deferred"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072156c4bd4415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24" hidden="0" customWidth="1"/>
    <x:col min="4" max="4" width="22" hidden="0" customWidth="1"/>
    <x:col min="5" max="5" width="20" hidden="0" customWidth="1"/>
    <x:col min="6" max="6" width="22" hidden="0" customWidth="1"/>
  </x:cols>
  <x:sheetData>
    <x:row r="1" ht="30" customHeight="1">
      <x:c r="A1" s="33" t="str">
        <x:v>Quality and Delivery Metrics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8" customHeight="1">
      <x:c r="A2" s="40" t="str">
        <x:v>Targets are release/pilot baselines; observed values are entered from test and operations evidence.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4" ht="30" customHeight="1">
      <x:c r="A4" s="13" t="str">
        <x:v>Metric</x:v>
      </x:c>
      <x:c r="B4" s="14" t="str">
        <x:v>Definition</x:v>
      </x:c>
      <x:c r="C4" s="14" t="str">
        <x:v>Numerator / Observed</x:v>
      </x:c>
      <x:c r="D4" s="14" t="str">
        <x:v>Denominator</x:v>
      </x:c>
      <x:c r="E4" s="14" t="str">
        <x:v>Target</x:v>
      </x:c>
      <x:c r="F4" s="15" t="str">
        <x:v>Use</x:v>
      </x:c>
    </x:row>
    <x:row r="5">
      <x:c r="A5" s="48" t="str">
        <x:v>Requirements complete</x:v>
      </x:c>
      <x:c r="B5" s="49" t="str">
        <x:v>COUNTIF Requirements status Complete</x:v>
      </x:c>
      <x:c r="C5" s="104" t="n">
        <x:f>COUNTIF(Requirements!H5:H71,"Complete")</x:f>
        <x:v>0</x:v>
      </x:c>
      <x:c r="D5" s="104" t="n">
        <x:f>ROWS(Requirements!A5:A71)</x:f>
        <x:v>67</x:v>
      </x:c>
      <x:c r="E5" s="49" t="str">
        <x:v>0</x:v>
      </x:c>
      <x:c r="F5" s="50" t="str">
        <x:v>Trend / gate</x:v>
      </x:c>
    </x:row>
    <x:row r="6">
      <x:c r="A6" s="51" t="str">
        <x:v>RTM complete</x:v>
      </x:c>
      <x:c r="B6" s="46" t="str">
        <x:v>COUNTIF RTM trace Complete</x:v>
      </x:c>
      <x:c r="C6" s="105" t="n">
        <x:f>COUNTIF(RTM!H5:H71,"Complete")</x:f>
        <x:v>0</x:v>
      </x:c>
      <x:c r="D6" s="105" t="n">
        <x:f>ROWS(RTM!A5:A71)</x:f>
        <x:v>67</x:v>
      </x:c>
      <x:c r="E6" s="46" t="str">
        <x:v>0</x:v>
      </x:c>
      <x:c r="F6" s="52" t="str">
        <x:v>Gate</x:v>
      </x:c>
    </x:row>
    <x:row r="7">
      <x:c r="A7" s="51" t="str">
        <x:v>Test pass rate</x:v>
      </x:c>
      <x:c r="B7" s="46" t="str">
        <x:v>Pass / executed</x:v>
      </x:c>
      <x:c r="C7" s="105" t="n">
        <x:f>COUNTIF('Test Cases'!G5:G26,"Pass")</x:f>
        <x:v>0</x:v>
      </x:c>
      <x:c r="D7" s="105" t="n">
        <x:f>COUNTIF('Test Cases'!G5:G26,"Pass")+COUNTIF('Test Cases'!G5:G26,"Fail")</x:f>
        <x:v>0</x:v>
      </x:c>
      <x:c r="E7" s="46" t="str">
        <x:v>&gt;=95% and 100% safety/security</x:v>
      </x:c>
      <x:c r="F7" s="52" t="str">
        <x:v>Release</x:v>
      </x:c>
    </x:row>
    <x:row r="8">
      <x:c r="A8" s="51" t="str">
        <x:v>Open critical defects</x:v>
      </x:c>
      <x:c r="B8" s="46" t="str">
        <x:v>Critical and not Closed</x:v>
      </x:c>
      <x:c r="C8" s="105" t="n">
        <x:f>COUNTIFS(Defects!D5:D200,"Critical",Defects!E5:E200,"&lt;&gt;Closed")</x:f>
        <x:v>1</x:v>
      </x:c>
      <x:c r="D8" s="105" t="str">
        <x:v>0</x:v>
      </x:c>
      <x:c r="E8" s="46" t="str">
        <x:v>0</x:v>
      </x:c>
      <x:c r="F8" s="52" t="str">
        <x:v>Release blocker</x:v>
      </x:c>
    </x:row>
    <x:row r="9">
      <x:c r="A9" s="51" t="str">
        <x:v>Telemetry latency p95 (s)</x:v>
      </x:c>
      <x:c r="B9" s="46" t="str">
        <x:v>Observed from monitoring</x:v>
      </x:c>
      <x:c r="C9" s="105" t="str"/>
      <x:c r="D9" s="105" t="str"/>
      <x:c r="E9" s="46" t="str">
        <x:v>&lt;=5</x:v>
      </x:c>
      <x:c r="F9" s="52" t="str">
        <x:v>Pilot</x:v>
      </x:c>
    </x:row>
    <x:row r="10">
      <x:c r="A10" s="51" t="str">
        <x:v>Device data completeness</x:v>
      </x:c>
      <x:c r="B10" s="46" t="str">
        <x:v>Received logical records / expected</x:v>
      </x:c>
      <x:c r="C10" s="105" t="str"/>
      <x:c r="D10" s="105" t="str"/>
      <x:c r="E10" s="46" t="str">
        <x:v>&gt;=99%</x:v>
      </x:c>
      <x:c r="F10" s="52" t="str">
        <x:v>Pilot</x:v>
      </x:c>
    </x:row>
    <x:row r="11">
      <x:c r="A11" s="51" t="str">
        <x:v>Flow meter error</x:v>
      </x:c>
      <x:c r="B11" s="46" t="str">
        <x:v>Absolute reference comparison</x:v>
      </x:c>
      <x:c r="C11" s="105" t="str"/>
      <x:c r="D11" s="105" t="str"/>
      <x:c r="E11" s="46" t="str">
        <x:v>&lt;=5%</x:v>
      </x:c>
      <x:c r="F11" s="52" t="str">
        <x:v>Calibration</x:v>
      </x:c>
    </x:row>
    <x:row r="12">
      <x:c r="A12" s="51" t="str">
        <x:v>Energy meter error</x:v>
      </x:c>
      <x:c r="B12" s="46" t="str">
        <x:v>Absolute reference comparison</x:v>
      </x:c>
      <x:c r="C12" s="105" t="str"/>
      <x:c r="D12" s="105" t="str"/>
      <x:c r="E12" s="46" t="str">
        <x:v>&lt;=5%</x:v>
      </x:c>
      <x:c r="F12" s="52" t="str">
        <x:v>Calibration</x:v>
      </x:c>
    </x:row>
    <x:row r="13">
      <x:c r="A13" s="51" t="str">
        <x:v>AI macro F1</x:v>
      </x:c>
      <x:c r="B13" s="46" t="str">
        <x:v>Held-out representative test set</x:v>
      </x:c>
      <x:c r="C13" s="105" t="str"/>
      <x:c r="D13" s="105" t="str"/>
      <x:c r="E13" s="46" t="str">
        <x:v>&gt;=85% target</x:v>
      </x:c>
      <x:c r="F13" s="52" t="str">
        <x:v>AI validation</x:v>
      </x:c>
    </x:row>
    <x:row r="14">
      <x:c r="A14" s="51" t="str">
        <x:v>Usability task success</x:v>
      </x:c>
      <x:c r="B14" s="46" t="str">
        <x:v>Core tasks without assistance</x:v>
      </x:c>
      <x:c r="C14" s="105" t="str"/>
      <x:c r="D14" s="105" t="str"/>
      <x:c r="E14" s="46" t="str">
        <x:v>&gt;=80%</x:v>
      </x:c>
      <x:c r="F14" s="52" t="str">
        <x:v>UAT</x:v>
      </x:c>
    </x:row>
    <x:row r="15">
      <x:c r="A15" s="53" t="str">
        <x:v>Backup restore duration</x:v>
      </x:c>
      <x:c r="B15" s="54" t="str">
        <x:v>Restore exercise</x:v>
      </x:c>
      <x:c r="C15" s="106" t="str"/>
      <x:c r="D15" s="106" t="str"/>
      <x:c r="E15" s="54" t="str">
        <x:v>&lt;=4h RTO</x:v>
      </x:c>
      <x:c r="F15" s="55" t="str">
        <x:v>Continuity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847746011e24401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3" max="3" width="20" hidden="0" customWidth="1"/>
    <x:col min="4" max="4" width="12" hidden="0" customWidth="1"/>
    <x:col min="5" max="5" width="16" hidden="0" customWidth="1"/>
    <x:col min="6" max="6" width="48" hidden="0" customWidth="1"/>
    <x:col min="7" max="7" width="14" hidden="0" customWidth="1"/>
  </x:cols>
  <x:sheetData>
    <x:row r="1" ht="30" customHeight="1">
      <x:c r="A1" s="33" t="str">
        <x:v>Deployment and Release Readiness Checklist</x:v>
      </x:c>
      <x:c r="B1" s="33"/>
      <x:c r="C1" s="33"/>
      <x:c r="D1" s="33"/>
      <x:c r="E1" s="33"/>
      <x:c r="F1" s="33"/>
      <x:c r="G1" s="33"/>
      <x:c r="H1" s="33"/>
      <x:c r="I1" s="33"/>
      <x:c r="J1" s="33"/>
    </x:row>
    <x:row r="2" ht="38" customHeight="1">
      <x:c r="A2" s="40" t="str">
        <x:v>All critical controls must pass before pilot deployment.</x:v>
      </x:c>
      <x:c r="B2" s="40"/>
      <x:c r="C2" s="40"/>
      <x:c r="D2" s="40"/>
      <x:c r="E2" s="40"/>
      <x:c r="F2" s="40"/>
      <x:c r="G2" s="40"/>
      <x:c r="H2" s="40"/>
      <x:c r="I2" s="40"/>
      <x:c r="J2" s="40"/>
    </x:row>
    <x:row r="4" ht="30" customHeight="1">
      <x:c r="A4" s="13" t="str">
        <x:v>Check ID</x:v>
      </x:c>
      <x:c r="B4" s="14" t="str">
        <x:v>Control</x:v>
      </x:c>
      <x:c r="C4" s="14" t="str">
        <x:v>Owner</x:v>
      </x:c>
      <x:c r="D4" s="14" t="str">
        <x:v>Priority</x:v>
      </x:c>
      <x:c r="E4" s="14" t="str">
        <x:v>Status</x:v>
      </x:c>
      <x:c r="F4" s="14" t="str">
        <x:v>Evidence</x:v>
      </x:c>
      <x:c r="G4" s="15" t="str">
        <x:v>Completed Date</x:v>
      </x:c>
    </x:row>
    <x:row r="5">
      <x:c r="A5" s="48" t="str">
        <x:v>DEP-001</x:v>
      </x:c>
      <x:c r="B5" s="49" t="str">
        <x:v>Approved release manifest and gate decision</x:v>
      </x:c>
      <x:c r="C5" s="49" t="str">
        <x:v>Project Manager</x:v>
      </x:c>
      <x:c r="D5" s="49" t="str">
        <x:v>Critical</x:v>
      </x:c>
      <x:c r="E5" s="49" t="str">
        <x:v>Not Started</x:v>
      </x:c>
      <x:c r="F5" s="49" t="str"/>
      <x:c r="G5" s="98" t="str"/>
    </x:row>
    <x:row r="6">
      <x:c r="A6" s="51" t="str">
        <x:v>DEP-002</x:v>
      </x:c>
      <x:c r="B6" s="46" t="str">
        <x:v>Current database backup and restore path verified</x:v>
      </x:c>
      <x:c r="C6" s="46" t="str">
        <x:v>Operations Lead</x:v>
      </x:c>
      <x:c r="D6" s="46" t="str">
        <x:v>Critical</x:v>
      </x:c>
      <x:c r="E6" s="46" t="str">
        <x:v>Not Started</x:v>
      </x:c>
      <x:c r="F6" s="46" t="str"/>
      <x:c r="G6" s="99" t="str"/>
    </x:row>
    <x:row r="7">
      <x:c r="A7" s="51" t="str">
        <x:v>DEP-003</x:v>
      </x:c>
      <x:c r="B7" s="46" t="str">
        <x:v>Secrets/configuration and TLS validated</x:v>
      </x:c>
      <x:c r="C7" s="46" t="str">
        <x:v>Security Owner</x:v>
      </x:c>
      <x:c r="D7" s="46" t="str">
        <x:v>Critical</x:v>
      </x:c>
      <x:c r="E7" s="46" t="str">
        <x:v>Not Started</x:v>
      </x:c>
      <x:c r="F7" s="46" t="str"/>
      <x:c r="G7" s="99" t="str"/>
    </x:row>
    <x:row r="8">
      <x:c r="A8" s="51" t="str">
        <x:v>DEP-004</x:v>
      </x:c>
      <x:c r="B8" s="46" t="str">
        <x:v>Database migrations reviewed and tested</x:v>
      </x:c>
      <x:c r="C8" s="46" t="str">
        <x:v>Backend Lead</x:v>
      </x:c>
      <x:c r="D8" s="46" t="str">
        <x:v>High</x:v>
      </x:c>
      <x:c r="E8" s="46" t="str">
        <x:v>Not Started</x:v>
      </x:c>
      <x:c r="F8" s="46" t="str"/>
      <x:c r="G8" s="99" t="str"/>
    </x:row>
    <x:row r="9">
      <x:c r="A9" s="51" t="str">
        <x:v>DEP-005</x:v>
      </x:c>
      <x:c r="B9" s="46" t="str">
        <x:v>Queue workers, scheduler and Reverb health verified</x:v>
      </x:c>
      <x:c r="C9" s="46" t="str">
        <x:v>Operations Lead</x:v>
      </x:c>
      <x:c r="D9" s="46" t="str">
        <x:v>High</x:v>
      </x:c>
      <x:c r="E9" s="46" t="str">
        <x:v>Not Started</x:v>
      </x:c>
      <x:c r="F9" s="46" t="str"/>
      <x:c r="G9" s="99" t="str"/>
    </x:row>
    <x:row r="10">
      <x:c r="A10" s="51" t="str">
        <x:v>DEP-006</x:v>
      </x:c>
      <x:c r="B10" s="46" t="str">
        <x:v>Device firmware/checksum and unique credential recorded</x:v>
      </x:c>
      <x:c r="C10" s="46" t="str">
        <x:v>IoT Lead</x:v>
      </x:c>
      <x:c r="D10" s="46" t="str">
        <x:v>Critical</x:v>
      </x:c>
      <x:c r="E10" s="46" t="str">
        <x:v>Not Started</x:v>
      </x:c>
      <x:c r="F10" s="46" t="str"/>
      <x:c r="G10" s="99" t="str"/>
    </x:row>
    <x:row r="11">
      <x:c r="A11" s="51" t="str">
        <x:v>DEP-007</x:v>
      </x:c>
      <x:c r="B11" s="46" t="str">
        <x:v>Flow/energy/sensor calibration passed</x:v>
      </x:c>
      <x:c r="C11" s="46" t="str">
        <x:v>IoT Lead</x:v>
      </x:c>
      <x:c r="D11" s="46" t="str">
        <x:v>Critical</x:v>
      </x:c>
      <x:c r="E11" s="46" t="str">
        <x:v>Not Started</x:v>
      </x:c>
      <x:c r="F11" s="46" t="str"/>
      <x:c r="G11" s="99" t="str"/>
    </x:row>
    <x:row r="12">
      <x:c r="A12" s="51" t="str">
        <x:v>DEP-008</x:v>
      </x:c>
      <x:c r="B12" s="46" t="str">
        <x:v>Enclosure, fuse, isolation and manual cutoff inspected</x:v>
      </x:c>
      <x:c r="C12" s="46" t="str">
        <x:v>IoT Lead</x:v>
      </x:c>
      <x:c r="D12" s="46" t="str">
        <x:v>Critical</x:v>
      </x:c>
      <x:c r="E12" s="46" t="str">
        <x:v>Not Started</x:v>
      </x:c>
      <x:c r="F12" s="46" t="str"/>
      <x:c r="G12" s="99" t="str"/>
    </x:row>
    <x:row r="13">
      <x:c r="A13" s="51" t="str">
        <x:v>DEP-009</x:v>
      </x:c>
      <x:c r="B13" s="46" t="str">
        <x:v>Flutter release tests on low-end reference Android passed</x:v>
      </x:c>
      <x:c r="C13" s="46" t="str">
        <x:v>Mobile Lead</x:v>
      </x:c>
      <x:c r="D13" s="46" t="str">
        <x:v>High</x:v>
      </x:c>
      <x:c r="E13" s="46" t="str">
        <x:v>Not Started</x:v>
      </x:c>
      <x:c r="F13" s="46" t="str"/>
      <x:c r="G13" s="99" t="str"/>
    </x:row>
    <x:row r="14">
      <x:c r="A14" s="51" t="str">
        <x:v>DEP-010</x:v>
      </x:c>
      <x:c r="B14" s="46" t="str">
        <x:v>AI model card, checksum and known sample validation complete</x:v>
      </x:c>
      <x:c r="C14" s="46" t="str">
        <x:v>AI Lead</x:v>
      </x:c>
      <x:c r="D14" s="46" t="str">
        <x:v>High</x:v>
      </x:c>
      <x:c r="E14" s="46" t="str">
        <x:v>Not Started</x:v>
      </x:c>
      <x:c r="F14" s="46" t="str"/>
      <x:c r="G14" s="99" t="str"/>
    </x:row>
    <x:row r="15">
      <x:c r="A15" s="51" t="str">
        <x:v>DEP-011</x:v>
      </x:c>
      <x:c r="B15" s="46" t="str">
        <x:v>Monitoring/alerts and support contacts active</x:v>
      </x:c>
      <x:c r="C15" s="46" t="str">
        <x:v>Operations Lead</x:v>
      </x:c>
      <x:c r="D15" s="46" t="str">
        <x:v>High</x:v>
      </x:c>
      <x:c r="E15" s="46" t="str">
        <x:v>Not Started</x:v>
      </x:c>
      <x:c r="F15" s="46" t="str"/>
      <x:c r="G15" s="99" t="str"/>
    </x:row>
    <x:row r="16">
      <x:c r="A16" s="51" t="str">
        <x:v>DEP-012</x:v>
      </x:c>
      <x:c r="B16" s="46" t="str">
        <x:v>Rollback for backend/mobile/firmware/model rehearsed</x:v>
      </x:c>
      <x:c r="C16" s="46" t="str">
        <x:v>QA Lead</x:v>
      </x:c>
      <x:c r="D16" s="46" t="str">
        <x:v>Critical</x:v>
      </x:c>
      <x:c r="E16" s="46" t="str">
        <x:v>Not Started</x:v>
      </x:c>
      <x:c r="F16" s="46" t="str"/>
      <x:c r="G16" s="99" t="str"/>
    </x:row>
    <x:row r="17">
      <x:c r="A17" s="53" t="str">
        <x:v>DEP-013</x:v>
      </x:c>
      <x:c r="B17" s="54" t="str">
        <x:v>Farmer training, permission and safe shutdown briefing complete</x:v>
      </x:c>
      <x:c r="C17" s="54" t="str">
        <x:v>Project Manager</x:v>
      </x:c>
      <x:c r="D17" s="54" t="str">
        <x:v>Critical</x:v>
      </x:c>
      <x:c r="E17" s="54" t="str">
        <x:v>Not Started</x:v>
      </x:c>
      <x:c r="F17" s="54" t="str"/>
      <x:c r="G17" s="100" t="str"/>
    </x:row>
  </x:sheetData>
  <x:mergeCells>
    <x:mergeCell ref="A1:J1"/>
    <x:mergeCell ref="A2:J2"/>
  </x:mergeCells>
  <x:conditionalFormatting sqref="E5:E17">
    <x:cfRule type="expression" dxfId="16" priority="1">
      <x:formula>E5="Complete"</x:formula>
    </x:cfRule>
    <x:cfRule type="expression" dxfId="17" priority="2">
      <x:formula>E5="In Progress"</x:formula>
    </x:cfRule>
    <x:cfRule type="expression" dxfId="18" priority="3">
      <x:formula>E5="Blocked"</x:formula>
    </x:cfRule>
    <x:cfRule type="expression" dxfId="19" priority="4">
      <x:formula>E5="Not Started"</x:formula>
    </x:cfRule>
  </x:conditionalFormatting>
  <x:dataValidations count="1">
    <x:dataValidation type="list" sqref="E5:E17">
      <x:formula1>"Not Started,In Progress,Complete,Blocked,Deferred"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6832fd2a724405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5" hidden="0" customWidth="1"/>
    <x:col min="4" max="4" width="25" hidden="0" customWidth="1"/>
    <x:col min="5" max="5" width="16" hidden="0" customWidth="1"/>
    <x:col min="6" max="6" width="14" hidden="0" customWidth="1"/>
    <x:col min="7" max="7" width="40" hidden="0" customWidth="1"/>
    <x:col min="8" max="8" width="35" hidden="0" customWidth="1"/>
    <x:col min="9" max="9" width="20" hidden="0" customWidth="1"/>
  </x:cols>
  <x:sheetData>
    <x:row r="1" ht="30" customHeight="1">
      <x:c r="A1" s="33" t="str">
        <x:v>Acceptance and Stage-Gate Register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</x:row>
    <x:row r="2" ht="38" customHeight="1">
      <x:c r="A2" s="40" t="str">
        <x:v>Formal acceptance records for PLC/SDLC gates and deliverables.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</x:row>
    <x:row r="4" ht="30" customHeight="1">
      <x:c r="A4" s="13" t="str">
        <x:v>Gate</x:v>
      </x:c>
      <x:c r="B4" s="14" t="str">
        <x:v>Stage</x:v>
      </x:c>
      <x:c r="C4" s="14" t="str">
        <x:v>Required Evidence</x:v>
      </x:c>
      <x:c r="D4" s="14" t="str">
        <x:v>Decision Authority</x:v>
      </x:c>
      <x:c r="E4" s="14" t="str">
        <x:v>Decision</x:v>
      </x:c>
      <x:c r="F4" s="14" t="str">
        <x:v>Decision Date</x:v>
      </x:c>
      <x:c r="G4" s="14" t="str">
        <x:v>Conditions / Actions</x:v>
      </x:c>
      <x:c r="H4" s="14" t="str">
        <x:v>Evidence Link</x:v>
      </x:c>
      <x:c r="I4" s="15" t="str">
        <x:v>Sign-off</x:v>
      </x:c>
    </x:row>
    <x:row r="5">
      <x:c r="A5" s="48" t="str">
        <x:v>G0</x:v>
      </x:c>
      <x:c r="B5" s="49" t="str">
        <x:v>Initiation</x:v>
      </x:c>
      <x:c r="C5" s="49" t="str">
        <x:v>Charter, business case, stakeholders, initial risks</x:v>
      </x:c>
      <x:c r="D5" s="49" t="str">
        <x:v>Sponsor</x:v>
      </x:c>
      <x:c r="E5" s="49" t="str">
        <x:v>Pending</x:v>
      </x:c>
      <x:c r="F5" s="64" t="str"/>
      <x:c r="G5" s="49" t="str"/>
      <x:c r="H5" s="49" t="str"/>
      <x:c r="I5" s="50" t="str"/>
    </x:row>
    <x:row r="6">
      <x:c r="A6" s="51" t="str">
        <x:v>G1</x:v>
      </x:c>
      <x:c r="B6" s="46" t="str">
        <x:v>Requirements</x:v>
      </x:c>
      <x:c r="C6" s="46" t="str">
        <x:v>SRS, UX, acceptance and RTM baseline</x:v>
      </x:c>
      <x:c r="D6" s="46" t="str">
        <x:v>Product Owner / Sponsor</x:v>
      </x:c>
      <x:c r="E6" s="46" t="str">
        <x:v>Pending</x:v>
      </x:c>
      <x:c r="F6" s="65" t="str"/>
      <x:c r="G6" s="46" t="str"/>
      <x:c r="H6" s="46" t="str"/>
      <x:c r="I6" s="52" t="str"/>
    </x:row>
    <x:row r="7">
      <x:c r="A7" s="51" t="str">
        <x:v>G2</x:v>
      </x:c>
      <x:c r="B7" s="46" t="str">
        <x:v>Design</x:v>
      </x:c>
      <x:c r="C7" s="46" t="str">
        <x:v>Architecture, hardware safety, data/API and security</x:v>
      </x:c>
      <x:c r="D7" s="46" t="str">
        <x:v>Technical Lead</x:v>
      </x:c>
      <x:c r="E7" s="46" t="str">
        <x:v>Pending</x:v>
      </x:c>
      <x:c r="F7" s="65" t="str"/>
      <x:c r="G7" s="46" t="str"/>
      <x:c r="H7" s="46" t="str"/>
      <x:c r="I7" s="52" t="str"/>
    </x:row>
    <x:row r="8">
      <x:c r="A8" s="51" t="str">
        <x:v>G3</x:v>
      </x:c>
      <x:c r="B8" s="46" t="str">
        <x:v>Build Complete</x:v>
      </x:c>
      <x:c r="C8" s="46" t="str">
        <x:v>Integrated release candidate and component tests</x:v>
      </x:c>
      <x:c r="D8" s="46" t="str">
        <x:v>Technical Lead / QA</x:v>
      </x:c>
      <x:c r="E8" s="46" t="str">
        <x:v>Pending</x:v>
      </x:c>
      <x:c r="F8" s="65" t="str"/>
      <x:c r="G8" s="46" t="str"/>
      <x:c r="H8" s="46" t="str"/>
      <x:c r="I8" s="52" t="str"/>
    </x:row>
    <x:row r="9">
      <x:c r="A9" s="51" t="str">
        <x:v>G4</x:v>
      </x:c>
      <x:c r="B9" s="46" t="str">
        <x:v>Pilot Ready</x:v>
      </x:c>
      <x:c r="C9" s="46" t="str">
        <x:v>Calibration, safety, security, restore, deployment and training</x:v>
      </x:c>
      <x:c r="D9" s="46" t="str">
        <x:v>Sponsor / QA</x:v>
      </x:c>
      <x:c r="E9" s="46" t="str">
        <x:v>Pending</x:v>
      </x:c>
      <x:c r="F9" s="65" t="str"/>
      <x:c r="G9" s="46" t="str"/>
      <x:c r="H9" s="46" t="str"/>
      <x:c r="I9" s="52" t="str"/>
    </x:row>
    <x:row r="10">
      <x:c r="A10" s="51" t="str">
        <x:v>G5</x:v>
      </x:c>
      <x:c r="B10" s="46" t="str">
        <x:v>Acceptance</x:v>
      </x:c>
      <x:c r="C10" s="46" t="str">
        <x:v>UAT, KPI evidence, known issues and handover</x:v>
      </x:c>
      <x:c r="D10" s="46" t="str">
        <x:v>Product Owner / Sponsor</x:v>
      </x:c>
      <x:c r="E10" s="46" t="str">
        <x:v>Pending</x:v>
      </x:c>
      <x:c r="F10" s="65" t="str"/>
      <x:c r="G10" s="46" t="str"/>
      <x:c r="H10" s="46" t="str"/>
      <x:c r="I10" s="52" t="str"/>
    </x:row>
    <x:row r="11">
      <x:c r="A11" s="53" t="str">
        <x:v>G6</x:v>
      </x:c>
      <x:c r="B11" s="54" t="str">
        <x:v>Closure</x:v>
      </x:c>
      <x:c r="C11" s="54" t="str">
        <x:v>Closure report, archive, lessons and ownership</x:v>
      </x:c>
      <x:c r="D11" s="54" t="str">
        <x:v>Sponsor</x:v>
      </x:c>
      <x:c r="E11" s="54" t="str">
        <x:v>Pending</x:v>
      </x:c>
      <x:c r="F11" s="66" t="str"/>
      <x:c r="G11" s="54" t="str"/>
      <x:c r="H11" s="54" t="str"/>
      <x:c r="I11" s="55" t="str"/>
    </x:row>
  </x:sheetData>
  <x:mergeCells>
    <x:mergeCell ref="A1:L1"/>
    <x:mergeCell ref="A2:L2"/>
  </x:mergeCells>
  <x:dataValidations count="1">
    <x:dataValidation type="list" sqref="E5:E11">
      <x:formula1>"Pending,Approved,Conditional,Rejected"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c662e28bf841eb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40" hidden="0" customWidth="1"/>
    <x:col min="4" max="4" width="20" hidden="0" customWidth="1"/>
    <x:col min="5" max="5" width="14" hidden="0" customWidth="1"/>
    <x:col min="6" max="6" width="14" hidden="0" customWidth="1"/>
    <x:col min="7" max="7" width="20" hidden="0" customWidth="1"/>
    <x:col min="8" max="8" width="35" hidden="0" customWidth="1"/>
    <x:col min="9" max="9" width="30" hidden="0" customWidth="1"/>
  </x:cols>
  <x:sheetData>
    <x:row r="1" ht="30" customHeight="1">
      <x:c r="A1" s="33" t="str">
        <x:v>Training and Competency Register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</x:row>
    <x:row r="2" ht="38" customHeight="1">
      <x:c r="A2" s="40" t="str">
        <x:v>Training is complete only when the learner demonstrates the required task safely.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</x:row>
    <x:row r="4" ht="30" customHeight="1">
      <x:c r="A4" s="13" t="str">
        <x:v>Training ID</x:v>
      </x:c>
      <x:c r="B4" s="14" t="str">
        <x:v>Audience</x:v>
      </x:c>
      <x:c r="C4" s="14" t="str">
        <x:v>Module</x:v>
      </x:c>
      <x:c r="D4" s="14" t="str">
        <x:v>Trainer</x:v>
      </x:c>
      <x:c r="E4" s="14" t="str">
        <x:v>Planned Date</x:v>
      </x:c>
      <x:c r="F4" s="14" t="str">
        <x:v>Status</x:v>
      </x:c>
      <x:c r="G4" s="14" t="str">
        <x:v>Competency Result</x:v>
      </x:c>
      <x:c r="H4" s="14" t="str">
        <x:v>Evidence</x:v>
      </x:c>
      <x:c r="I4" s="15" t="str">
        <x:v>Notes</x:v>
      </x:c>
    </x:row>
    <x:row r="5">
      <x:c r="A5" s="48" t="str">
        <x:v>TRN-001</x:v>
      </x:c>
      <x:c r="B5" s="49" t="str">
        <x:v>Farmer operator</x:v>
      </x:c>
      <x:c r="C5" s="49" t="str">
        <x:v>System and safety</x:v>
      </x:c>
      <x:c r="D5" s="49" t="str">
        <x:v>Project Manager</x:v>
      </x:c>
      <x:c r="E5" s="64" t="str">
        <x:v>2026-08-10</x:v>
      </x:c>
      <x:c r="F5" s="49" t="str">
        <x:v>Planned</x:v>
      </x:c>
      <x:c r="G5" s="49" t="str"/>
      <x:c r="H5" s="49" t="str"/>
      <x:c r="I5" s="50" t="str"/>
    </x:row>
    <x:row r="6">
      <x:c r="A6" s="51" t="str">
        <x:v>TRN-002</x:v>
      </x:c>
      <x:c r="B6" s="46" t="str">
        <x:v>Farmer operator</x:v>
      </x:c>
      <x:c r="C6" s="46" t="str">
        <x:v>Dashboard and offline/stale status</x:v>
      </x:c>
      <x:c r="D6" s="46" t="str">
        <x:v>UX Lead</x:v>
      </x:c>
      <x:c r="E6" s="65" t="str">
        <x:v>2026-08-10</x:v>
      </x:c>
      <x:c r="F6" s="46" t="str">
        <x:v>Planned</x:v>
      </x:c>
      <x:c r="G6" s="46" t="str"/>
      <x:c r="H6" s="46" t="str"/>
      <x:c r="I6" s="52" t="str"/>
    </x:row>
    <x:row r="7">
      <x:c r="A7" s="51" t="str">
        <x:v>TRN-003</x:v>
      </x:c>
      <x:c r="B7" s="46" t="str">
        <x:v>Farmer operator</x:v>
      </x:c>
      <x:c r="C7" s="46" t="str">
        <x:v>Safe manual/automatic irrigation</x:v>
      </x:c>
      <x:c r="D7" s="46" t="str">
        <x:v>IoT / UX Lead</x:v>
      </x:c>
      <x:c r="E7" s="65" t="str">
        <x:v>2026-08-10</x:v>
      </x:c>
      <x:c r="F7" s="46" t="str">
        <x:v>Planned</x:v>
      </x:c>
      <x:c r="G7" s="46" t="str"/>
      <x:c r="H7" s="46" t="str"/>
      <x:c r="I7" s="52" t="str"/>
    </x:row>
    <x:row r="8">
      <x:c r="A8" s="51" t="str">
        <x:v>TRN-004</x:v>
      </x:c>
      <x:c r="B8" s="46" t="str">
        <x:v>Farmer operator</x:v>
      </x:c>
      <x:c r="C8" s="46" t="str">
        <x:v>Ripeness, cost and logbook</x:v>
      </x:c>
      <x:c r="D8" s="46" t="str">
        <x:v>Product Owner</x:v>
      </x:c>
      <x:c r="E8" s="65" t="str">
        <x:v>2026-08-10</x:v>
      </x:c>
      <x:c r="F8" s="46" t="str">
        <x:v>Planned</x:v>
      </x:c>
      <x:c r="G8" s="46" t="str"/>
      <x:c r="H8" s="46" t="str"/>
      <x:c r="I8" s="52" t="str"/>
    </x:row>
    <x:row r="9">
      <x:c r="A9" s="51" t="str">
        <x:v>TRN-005</x:v>
      </x:c>
      <x:c r="B9" s="46" t="str">
        <x:v>Technician</x:v>
      </x:c>
      <x:c r="C9" s="46" t="str">
        <x:v>Provisioning, calibration, shutdown and recovery</x:v>
      </x:c>
      <x:c r="D9" s="46" t="str">
        <x:v>IoT Lead</x:v>
      </x:c>
      <x:c r="E9" s="65" t="str">
        <x:v>2026-08-08</x:v>
      </x:c>
      <x:c r="F9" s="46" t="str">
        <x:v>Planned</x:v>
      </x:c>
      <x:c r="G9" s="46" t="str"/>
      <x:c r="H9" s="46" t="str"/>
      <x:c r="I9" s="52" t="str"/>
    </x:row>
    <x:row r="10">
      <x:c r="A10" s="53" t="str">
        <x:v>TRN-006</x:v>
      </x:c>
      <x:c r="B10" s="54" t="str">
        <x:v>Operations team</x:v>
      </x:c>
      <x:c r="C10" s="54" t="str">
        <x:v>Deployment, monitoring, restore and incident response</x:v>
      </x:c>
      <x:c r="D10" s="54" t="str">
        <x:v>Operations Lead</x:v>
      </x:c>
      <x:c r="E10" s="66" t="str">
        <x:v>2026-08-08</x:v>
      </x:c>
      <x:c r="F10" s="54" t="str">
        <x:v>Planned</x:v>
      </x:c>
      <x:c r="G10" s="54" t="str"/>
      <x:c r="H10" s="54" t="str"/>
      <x:c r="I10" s="55" t="str"/>
    </x:row>
  </x:sheetData>
  <x:mergeCells>
    <x:mergeCell ref="A1:L1"/>
    <x:mergeCell ref="A2:L2"/>
  </x:mergeCells>
  <x:dataValidations count="2">
    <x:dataValidation type="list" sqref="F5:F10">
      <x:formula1>"Planned,In Progress,Complete,Cancelled"</x:formula1>
    </x:dataValidation>
    <x:dataValidation type="list" sqref="G5:G10">
      <x:formula1>"Not Assessed,Competent,Needs Support"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d8e2feb55e48e9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4" hidden="0" customWidth="1"/>
    <x:col min="4" max="4" width="22" hidden="0" customWidth="1"/>
    <x:col min="5" max="5" width="18" hidden="0" customWidth="1"/>
    <x:col min="6" max="6" width="16" hidden="0" customWidth="1"/>
    <x:col min="7" max="7" width="16" hidden="0" customWidth="1"/>
    <x:col min="8" max="8" width="22" hidden="0" customWidth="1"/>
    <x:col min="9" max="9" width="34" hidden="0" customWidth="1"/>
    <x:col min="10" max="10" width="18" hidden="0" customWidth="1"/>
    <x:col min="11" max="11" width="42" hidden="0" customWidth="1"/>
  </x:cols>
  <x:sheetData>
    <x:row r="1" ht="30" customHeight="1">
      <x:c r="A1" s="33" t="str">
        <x:v>Pilot Benefits and KPI Register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</x:row>
    <x:row r="2" ht="38" customHeight="1">
      <x:c r="A2" s="40" t="str">
        <x:v>Enter observed baseline/pilot values and preserve calculation/evidence. Do not insert assumed savings.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4" ht="30" customHeight="1">
      <x:c r="A4" s="13" t="str">
        <x:v>KPI ID</x:v>
      </x:c>
      <x:c r="B4" s="14" t="str">
        <x:v>KPI</x:v>
      </x:c>
      <x:c r="C4" s="14" t="str">
        <x:v>Unit</x:v>
      </x:c>
      <x:c r="D4" s="14" t="str">
        <x:v>Baseline/Target Label</x:v>
      </x:c>
      <x:c r="E4" s="14" t="str">
        <x:v>Baseline/Target Value</x:v>
      </x:c>
      <x:c r="F4" s="14" t="str">
        <x:v>Pilot Label</x:v>
      </x:c>
      <x:c r="G4" s="14" t="str">
        <x:v>Pilot Value</x:v>
      </x:c>
      <x:c r="H4" s="14" t="str">
        <x:v>Observed Change / Result</x:v>
      </x:c>
      <x:c r="I4" s="14" t="str">
        <x:v>Evidence Source</x:v>
      </x:c>
      <x:c r="J4" s="14" t="str">
        <x:v>Owner</x:v>
      </x:c>
      <x:c r="K4" s="15" t="str">
        <x:v>Interpretation / Limitation</x:v>
      </x:c>
    </x:row>
    <x:row r="5">
      <x:c r="A5" s="48" t="str">
        <x:v>KPI-01</x:v>
      </x:c>
      <x:c r="B5" s="49" t="str">
        <x:v>Water use per day</x:v>
      </x:c>
      <x:c r="C5" s="49" t="str">
        <x:v>m³/day</x:v>
      </x:c>
      <x:c r="D5" s="49" t="str">
        <x:v>Baseline</x:v>
      </x:c>
      <x:c r="E5" s="104" t="str"/>
      <x:c r="F5" s="49" t="str">
        <x:v>Pilot</x:v>
      </x:c>
      <x:c r="G5" s="104" t="str"/>
      <x:c r="H5" s="110" t="str">
        <x:f>IFERROR((E5-G5)/E5,"")</x:f>
      </x:c>
      <x:c r="I5" s="49" t="str">
        <x:v>Calibrated flow meter</x:v>
      </x:c>
      <x:c r="J5" s="49" t="str">
        <x:v>Project Manager</x:v>
      </x:c>
      <x:c r="K5" s="50" t="str"/>
    </x:row>
    <x:row r="6">
      <x:c r="A6" s="51" t="str">
        <x:v>KPI-02</x:v>
      </x:c>
      <x:c r="B6" s="46" t="str">
        <x:v>Energy use per day</x:v>
      </x:c>
      <x:c r="C6" s="46" t="str">
        <x:v>kWh/day</x:v>
      </x:c>
      <x:c r="D6" s="46" t="str">
        <x:v>Baseline</x:v>
      </x:c>
      <x:c r="E6" s="105" t="str"/>
      <x:c r="F6" s="46" t="str">
        <x:v>Pilot</x:v>
      </x:c>
      <x:c r="G6" s="105" t="str"/>
      <x:c r="H6" s="111" t="str">
        <x:f>IFERROR((E6-G6)/E6,"")</x:f>
      </x:c>
      <x:c r="I6" s="46" t="str">
        <x:v>Calibrated energy meter</x:v>
      </x:c>
      <x:c r="J6" s="46" t="str">
        <x:v>Project Manager</x:v>
      </x:c>
      <x:c r="K6" s="52" t="str"/>
    </x:row>
    <x:row r="7">
      <x:c r="A7" s="51" t="str">
        <x:v>KPI-03</x:v>
      </x:c>
      <x:c r="B7" s="46" t="str">
        <x:v>Manual inspection time</x:v>
      </x:c>
      <x:c r="C7" s="46" t="str">
        <x:v>minutes/day</x:v>
      </x:c>
      <x:c r="D7" s="46" t="str">
        <x:v>Baseline</x:v>
      </x:c>
      <x:c r="E7" s="105" t="str"/>
      <x:c r="F7" s="46" t="str">
        <x:v>Pilot</x:v>
      </x:c>
      <x:c r="G7" s="105" t="str"/>
      <x:c r="H7" s="111" t="str">
        <x:f>IFERROR((E7-G7)/E7,"")</x:f>
      </x:c>
      <x:c r="I7" s="46" t="str">
        <x:v>Observation/time log</x:v>
      </x:c>
      <x:c r="J7" s="46" t="str">
        <x:v>Product Owner</x:v>
      </x:c>
      <x:c r="K7" s="52" t="str"/>
    </x:row>
    <x:row r="8">
      <x:c r="A8" s="51" t="str">
        <x:v>KPI-04</x:v>
      </x:c>
      <x:c r="B8" s="46" t="str">
        <x:v>Data completeness</x:v>
      </x:c>
      <x:c r="C8" s="46" t="str">
        <x:v>%</x:v>
      </x:c>
      <x:c r="D8" s="46" t="str">
        <x:v>Target</x:v>
      </x:c>
      <x:c r="E8" s="111" t="n">
        <x:v>0.99</x:v>
      </x:c>
      <x:c r="F8" s="46" t="str">
        <x:v>Pilot</x:v>
      </x:c>
      <x:c r="G8" s="111" t="str"/>
      <x:c r="H8" s="111" t="str">
        <x:f>G8</x:f>
      </x:c>
      <x:c r="I8" s="46" t="str">
        <x:v>Sequence reconciliation</x:v>
      </x:c>
      <x:c r="J8" s="46" t="str">
        <x:v>QA Lead</x:v>
      </x:c>
      <x:c r="K8" s="52" t="str"/>
    </x:row>
    <x:row r="9">
      <x:c r="A9" s="51" t="str">
        <x:v>KPI-05</x:v>
      </x:c>
      <x:c r="B9" s="46" t="str">
        <x:v>Telemetry p95 latency</x:v>
      </x:c>
      <x:c r="C9" s="46" t="str">
        <x:v>seconds</x:v>
      </x:c>
      <x:c r="D9" s="46" t="str">
        <x:v>Target</x:v>
      </x:c>
      <x:c r="E9" s="105" t="n">
        <x:v>5</x:v>
      </x:c>
      <x:c r="F9" s="105" t="str">
        <x:v>Pilot</x:v>
      </x:c>
      <x:c r="G9" s="105" t="str"/>
      <x:c r="H9" s="105" t="str">
        <x:f>G9</x:f>
      </x:c>
      <x:c r="I9" s="46" t="str">
        <x:v>Monitoring report</x:v>
      </x:c>
      <x:c r="J9" s="46" t="str">
        <x:v>Backend Lead</x:v>
      </x:c>
      <x:c r="K9" s="52" t="str"/>
    </x:row>
    <x:row r="10">
      <x:c r="A10" s="51" t="str">
        <x:v>KPI-06</x:v>
      </x:c>
      <x:c r="B10" s="46" t="str">
        <x:v>Usability task success</x:v>
      </x:c>
      <x:c r="C10" s="46" t="str">
        <x:v>%</x:v>
      </x:c>
      <x:c r="D10" s="46" t="str">
        <x:v>Target</x:v>
      </x:c>
      <x:c r="E10" s="111" t="n">
        <x:v>0.8</x:v>
      </x:c>
      <x:c r="F10" s="46" t="str">
        <x:v>UAT</x:v>
      </x:c>
      <x:c r="G10" s="111" t="str"/>
      <x:c r="H10" s="111" t="str">
        <x:f>G10</x:f>
      </x:c>
      <x:c r="I10" s="46" t="str">
        <x:v>UAT checklist</x:v>
      </x:c>
      <x:c r="J10" s="46" t="str">
        <x:v>UX Lead</x:v>
      </x:c>
      <x:c r="K10" s="52" t="str"/>
    </x:row>
    <x:row r="11">
      <x:c r="A11" s="51" t="str">
        <x:v>KPI-07</x:v>
      </x:c>
      <x:c r="B11" s="46" t="str">
        <x:v>AI macro F1</x:v>
      </x:c>
      <x:c r="C11" s="46" t="str">
        <x:v>%</x:v>
      </x:c>
      <x:c r="D11" s="46" t="str">
        <x:v>Target</x:v>
      </x:c>
      <x:c r="E11" s="111" t="n">
        <x:v>0.85</x:v>
      </x:c>
      <x:c r="F11" s="46" t="str">
        <x:v>Validation</x:v>
      </x:c>
      <x:c r="G11" s="111" t="str"/>
      <x:c r="H11" s="111" t="str">
        <x:f>G11</x:f>
      </x:c>
      <x:c r="I11" s="46" t="str">
        <x:v>Model validation report</x:v>
      </x:c>
      <x:c r="J11" s="46" t="str">
        <x:v>AI Lead</x:v>
      </x:c>
      <x:c r="K11" s="52" t="str"/>
    </x:row>
    <x:row r="12">
      <x:c r="A12" s="53" t="str">
        <x:v>KPI-08</x:v>
      </x:c>
      <x:c r="B12" s="54" t="str">
        <x:v>Unsafe uncontrolled irrigation events</x:v>
      </x:c>
      <x:c r="C12" s="54" t="str">
        <x:v>count</x:v>
      </x:c>
      <x:c r="D12" s="54" t="str">
        <x:v>Target</x:v>
      </x:c>
      <x:c r="E12" s="72" t="n">
        <x:v>0</x:v>
      </x:c>
      <x:c r="F12" s="72" t="str">
        <x:v>Pilot</x:v>
      </x:c>
      <x:c r="G12" s="72" t="str"/>
      <x:c r="H12" s="72" t="n">
        <x:f>G12</x:f>
        <x:v>0</x:v>
      </x:c>
      <x:c r="I12" s="54" t="str">
        <x:v>Incident/safety log</x:v>
      </x:c>
      <x:c r="J12" s="54" t="str">
        <x:v>IoT Lead</x:v>
      </x:c>
      <x:c r="K12" s="55" t="str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29e419dea78c474f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2" hidden="0" customWidth="1"/>
    <x:col min="4" max="4" width="60" hidden="0" customWidth="1"/>
    <x:col min="5" max="5" width="38" hidden="0" customWidth="1"/>
  </x:cols>
  <x:sheetData>
    <x:row r="1" ht="30" customHeight="1">
      <x:c r="A1" s="33" t="str">
        <x:v>Source and Reference Register</x:v>
      </x:c>
      <x:c r="B1" s="33"/>
      <x:c r="C1" s="33"/>
      <x:c r="D1" s="33"/>
      <x:c r="E1" s="33"/>
      <x:c r="F1" s="33"/>
      <x:c r="G1" s="33"/>
      <x:c r="H1" s="33"/>
      <x:c r="I1" s="33"/>
    </x:row>
    <x:row r="2" ht="38" customHeight="1">
      <x:c r="A2" s="40" t="str">
        <x:v>Project source documents and authoritative implementation references.</x:v>
      </x:c>
      <x:c r="B2" s="40"/>
      <x:c r="C2" s="40"/>
      <x:c r="D2" s="40"/>
      <x:c r="E2" s="40"/>
      <x:c r="F2" s="40"/>
      <x:c r="G2" s="40"/>
      <x:c r="H2" s="40"/>
      <x:c r="I2" s="40"/>
    </x:row>
    <x:row r="4" ht="30" customHeight="1">
      <x:c r="A4" s="13" t="str">
        <x:v>Source ID</x:v>
      </x:c>
      <x:c r="B4" s="14" t="str">
        <x:v>Source</x:v>
      </x:c>
      <x:c r="C4" s="14" t="str">
        <x:v>Type</x:v>
      </x:c>
      <x:c r="D4" s="14" t="str">
        <x:v>Use</x:v>
      </x:c>
      <x:c r="E4" s="15" t="str">
        <x:v>Currency / Control</x:v>
      </x:c>
    </x:row>
    <x:row r="5">
      <x:c r="A5" s="48" t="str">
        <x:v>SRC-01</x:v>
      </x:c>
      <x:c r="B5" s="49" t="str">
        <x:v>LNTB original Khmer project proposal</x:v>
      </x:c>
      <x:c r="C5" s="49" t="str">
        <x:v>User upload</x:v>
      </x:c>
      <x:c r="D5" s="49" t="str">
        <x:v>Business context, goals, original BOM, timeline and intended benefits</x:v>
      </x:c>
      <x:c r="E5" s="50" t="str">
        <x:v>Current project source</x:v>
      </x:c>
    </x:row>
    <x:row r="6">
      <x:c r="A6" s="51" t="str">
        <x:v>SRC-02</x:v>
      </x:c>
      <x:c r="B6" s="46" t="str">
        <x:v>LNTB Requirements Specification</x:v>
      </x:c>
      <x:c r="C6" s="46" t="str">
        <x:v>User upload</x:v>
      </x:c>
      <x:c r="D6" s="46" t="str">
        <x:v>Initial functional/non-functional requirements</x:v>
      </x:c>
      <x:c r="E6" s="52" t="str">
        <x:v>Superseded/expanded by LNTB-SRS-001</x:v>
      </x:c>
    </x:row>
    <x:row r="7">
      <x:c r="A7" s="51" t="str">
        <x:v>SRC-03</x:v>
      </x:c>
      <x:c r="B7" s="46" t="str">
        <x:v>LNTB Project Structure Document</x:v>
      </x:c>
      <x:c r="C7" s="46" t="str">
        <x:v>User upload</x:v>
      </x:c>
      <x:c r="D7" s="46" t="str">
        <x:v>Initial architecture, data model and endpoint map</x:v>
      </x:c>
      <x:c r="E7" s="52" t="str">
        <x:v>Input to architecture baseline</x:v>
      </x:c>
    </x:row>
    <x:row r="8">
      <x:c r="A8" s="51" t="str">
        <x:v>SRC-04</x:v>
      </x:c>
      <x:c r="B8" s="46" t="str">
        <x:v>Laravel 13 official documentation</x:v>
      </x:c>
      <x:c r="C8" s="46" t="str">
        <x:v>Official framework docs</x:v>
      </x:c>
      <x:c r="D8" s="46" t="str">
        <x:v>Sanctum, validation, API resources, Reverb, queues, notifications, scheduler and testing</x:v>
      </x:c>
      <x:c r="E8" s="52" t="str">
        <x:v>Verify at implementation time</x:v>
      </x:c>
    </x:row>
    <x:row r="9">
      <x:c r="A9" s="51" t="str">
        <x:v>SRC-05</x:v>
      </x:c>
      <x:c r="B9" s="46" t="str">
        <x:v>Flutter official documentation</x:v>
      </x:c>
      <x:c r="C9" s="46" t="str">
        <x:v>Official framework docs</x:v>
      </x:c>
      <x:c r="D9" s="46" t="str">
        <x:v>Architecture, localization, offline-first, testing, accessibility and Android release</x:v>
      </x:c>
      <x:c r="E9" s="52" t="str">
        <x:v>Verify package/API versions at implementation time</x:v>
      </x:c>
    </x:row>
    <x:row r="10">
      <x:c r="A10" s="53" t="str">
        <x:v>SRC-06</x:v>
      </x:c>
      <x:c r="B10" s="54" t="str">
        <x:v>Espressif ESP32 official documentation/datasheet</x:v>
      </x:c>
      <x:c r="C10" s="54" t="str">
        <x:v>Official vendor docs</x:v>
      </x:c>
      <x:c r="D10" s="54" t="str">
        <x:v>Electrical, GPIO, networking and hardware constraints</x:v>
      </x:c>
      <x:c r="E10" s="55" t="str">
        <x:v>Exact purchased board/module controls final design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8126b56146f4e3d"/>
  </x:tableParts>
</x:worksheet>
</file>